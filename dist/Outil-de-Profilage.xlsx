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66f70290fbf8dc/Documents/Dossier Client France/ExpertComptable-ExcelVBA/dist/"/>
    </mc:Choice>
  </mc:AlternateContent>
  <xr:revisionPtr revIDLastSave="0" documentId="8_{1004C4EC-03A8-4DB7-81C9-69F7F0B463D9}" xr6:coauthVersionLast="47" xr6:coauthVersionMax="47" xr10:uidLastSave="{00000000-0000-0000-0000-000000000000}"/>
  <bookViews>
    <workbookView xWindow="-108" yWindow="-108" windowWidth="23256" windowHeight="12456" xr2:uid="{ECACA16B-638A-4FF8-87FA-B358A107B29A}"/>
  </bookViews>
  <sheets>
    <sheet name="Profilage_Questionnaire" sheetId="1" r:id="rId1"/>
    <sheet name="Profilage_Resultats" sheetId="2" r:id="rId2"/>
    <sheet name="Profils_Historique" sheetId="3" state="veryHidden" r:id="rId3"/>
    <sheet name="Référentiel" sheetId="4" state="veryHidden" r:id="rId4"/>
  </sheets>
  <definedNames>
    <definedName name="ProfilsHistorique_Header">Profils_Historique!$A$1:$J$1</definedName>
    <definedName name="Q1_Answer">Profilage_Questionnaire!$E$9</definedName>
    <definedName name="Q2_Answer">Profilage_Questionnaire!$E$13</definedName>
    <definedName name="Q3_Answer">Profilage_Questionnaire!$E$17</definedName>
    <definedName name="Q4_Opts">Profilage_Questionnaire!$P$24:$P$28</definedName>
    <definedName name="Q5_Opts">Profilage_Questionnaire!$P$33:$P$37</definedName>
    <definedName name="Q6_Answer">Profilage_Questionnaire!$E$41</definedName>
    <definedName name="Q7_Scores">Profilage_Questionnaire!$K$48:$K$52</definedName>
    <definedName name="Q8_Answer">Profilage_Questionnaire!$E$58</definedName>
    <definedName name="Q9_Answer">Profilage_Questionnaire!$E$62</definedName>
    <definedName name="Ref_Options">Référentiel!$G$2:$J$33</definedName>
    <definedName name="Ref_Profiles">Référentiel!$O$2:$AA$5</definedName>
    <definedName name="Ref_Q1_OptionList">Référentiel!$I$2:$I$5</definedName>
    <definedName name="Ref_Q2_OptionList">Référentiel!$I$6:$I$9</definedName>
    <definedName name="Ref_Q3_OptionList">Référentiel!$I$10:$I$13</definedName>
    <definedName name="Ref_Q6_OptionList">Référentiel!$I$24:$I$27</definedName>
    <definedName name="Ref_Q7Subjects">Référentiel!$L$2:$M$6</definedName>
    <definedName name="Ref_Q8_OptionList">Référentiel!$I$28:$I$31</definedName>
    <definedName name="Ref_Q9_OptionList">Référentiel!$I$32:$I$33</definedName>
    <definedName name="Ref_Questions">Référentiel!$A$2:$E$10</definedName>
    <definedName name="Res_Arguments">Profilage_Resultats!$H$22:$M$25</definedName>
    <definedName name="Res_Brut">Profilage_Resultats!$G$9</definedName>
    <definedName name="Res_ClientName">Profilage_Resultats!$D$31:$G$31</definedName>
    <definedName name="Res_CoefBase">Profilage_Resultats!$Q$16</definedName>
    <definedName name="Res_Coefficient">Profilage_Resultats!$G$12</definedName>
    <definedName name="Res_CoefRaw">Profilage_Resultats!$Q$17</definedName>
    <definedName name="Res_FormuleFinale">Profilage_Resultats!$B$14:$I$15</definedName>
    <definedName name="Res_Freins">Profilage_Resultats!$B$22:$F$25</definedName>
    <definedName name="Res_Niveau">Profilage_Resultats!$G$11</definedName>
    <definedName name="Res_Notes">Profilage_Resultats!$B$34:$M$37</definedName>
    <definedName name="Res_Part1">Profilage_Resultats!$G$6</definedName>
    <definedName name="Res_Part2">Profilage_Resultats!$G$7</definedName>
    <definedName name="Res_Part3">Profilage_Resultats!$G$10</definedName>
    <definedName name="Res_Part4">Profilage_Resultats!$G$8</definedName>
    <definedName name="Res_Positionnement">Profilage_Resultats!$B$18:$M$19</definedName>
    <definedName name="Res_ProfilKey">Profilage_Resultats!$Q$15</definedName>
    <definedName name="Res_ProfilTitre">Profilage_Resultats!$B$17:$M$17</definedName>
    <definedName name="Res_ScoreFinal">Profilage_Resultats!$Q$14</definedName>
    <definedName name="Res_Ton">Profilage_Resultats!$B$28:$M$29</definedName>
    <definedName name="_xlnm.Print_Area" localSheetId="0">Profilage_Questionnaire!$A$1:$N$68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2" l="1"/>
  <c r="H22" i="2"/>
  <c r="B22" i="2"/>
  <c r="B18" i="2"/>
  <c r="B17" i="2"/>
  <c r="B14" i="2"/>
  <c r="G10" i="2"/>
  <c r="G8" i="2"/>
  <c r="G7" i="2"/>
  <c r="G6" i="2"/>
  <c r="G9" i="2" s="1"/>
  <c r="Q16" i="2" l="1"/>
  <c r="G11" i="2"/>
  <c r="Q17" i="2"/>
  <c r="G12" i="2" l="1"/>
  <c r="Q14" i="2"/>
  <c r="Q15" i="2" s="1"/>
  <c r="B30" i="2" l="1"/>
  <c r="B21" i="2"/>
</calcChain>
</file>

<file path=xl/sharedStrings.xml><?xml version="1.0" encoding="utf-8"?>
<sst xmlns="http://schemas.openxmlformats.org/spreadsheetml/2006/main" count="178" uniqueCount="145">
  <si>
    <t>QId</t>
  </si>
  <si>
    <t>Part</t>
  </si>
  <si>
    <t>Type</t>
  </si>
  <si>
    <t>Text</t>
  </si>
  <si>
    <t>Description</t>
  </si>
  <si>
    <t>radio</t>
  </si>
  <si>
    <t>1 - Votre entreprise a-t-elle déjà engagé une démarche liée à l’environnement ou à la transition écologique ?</t>
  </si>
  <si>
    <t>2 - Avez-vous identifié des enjeux environnementaux propres à votre activité ?</t>
  </si>
  <si>
    <t>3 - Votre entreprise communique-t-elle (même partiellement) sur ses engagements ou actions environnementales ?</t>
  </si>
  <si>
    <t>checkbox</t>
  </si>
  <si>
    <t>4 - Quels sont, selon vous, les principaux freins à l'engagement de votre entreprise dans une démarche écologique ?</t>
  </si>
  <si>
    <t>Plusieurs choix possibles</t>
  </si>
  <si>
    <t>5 - Quelles seraient vos motivations à engager une telle démarche ?</t>
  </si>
  <si>
    <t>6 - L’accompagnement de votre expert-comptable dans cette démarche vous semblerait-il utile ?</t>
  </si>
  <si>
    <t>rating</t>
  </si>
  <si>
    <t>7 - Selon vous, votre expert-comptable est-il légitime pour vous accompagner sur les sujets suivants ?</t>
  </si>
  <si>
    <t>Notez chaque item sur une échelle de 1 à 4 – 1 = Pas du tout légitime / 4 = Très légitime</t>
  </si>
  <si>
    <t>8 - Seriez-vous prêt à bénéficier d’un accompagnement personnalisé du cabinet pour structurer une démarche environnementale ?</t>
  </si>
  <si>
    <t>9 - Pensez-vous qu’il importe d’approfondir le sujet de votre transition écologique lors d’une prochaine discussion ?</t>
  </si>
  <si>
    <t>Ord</t>
  </si>
  <si>
    <t>OptionText</t>
  </si>
  <si>
    <t>Score</t>
  </si>
  <si>
    <t>Oui, dans le cadre d’une stratégie structurée</t>
  </si>
  <si>
    <t>Oui, ponctuellement mais sans formalisation</t>
  </si>
  <si>
    <t>Non, mais nous y réfléchissons</t>
  </si>
  <si>
    <t>Non, ce sujet n’est pas encore à l’ordre du jour</t>
  </si>
  <si>
    <t>Oui, clairement identifiés</t>
  </si>
  <si>
    <t>Quelques éléments, mais non priorisés</t>
  </si>
  <si>
    <t>Pas vraiment</t>
  </si>
  <si>
    <t>Je ne sais pas</t>
  </si>
  <si>
    <t>Oui, en interne et en externe</t>
  </si>
  <si>
    <t>Oui, uniquement en interne</t>
  </si>
  <si>
    <t>Non, mais nous y pensons</t>
  </si>
  <si>
    <t>Non, aucun besoin identifié</t>
  </si>
  <si>
    <t>Le coût estimé</t>
  </si>
  <si>
    <t>Le manque de temps / de ressources humaines</t>
  </si>
  <si>
    <t>L’absence d’obligation réglementaire</t>
  </si>
  <si>
    <t>Le manque de compétences techniques ou d’accompagnement</t>
  </si>
  <si>
    <t>Je ne perçois pas l’intérêt immédiat</t>
  </si>
  <si>
    <t>Respect des futures obligations réglementaires</t>
  </si>
  <si>
    <t>Réduction des coûts (énergie, déchets, etc.)</t>
  </si>
  <si>
    <t>Valorisation de l’image de l’entreprise</t>
  </si>
  <si>
    <t>Demandes de vos donneurs d’ordre / clients</t>
  </si>
  <si>
    <t>Accès à des financements ou des subventions</t>
  </si>
  <si>
    <t>Oui, je pense que c’est le bon interlocuteur</t>
  </si>
  <si>
    <t>Peut-être, s’il propose des outils adaptés</t>
  </si>
  <si>
    <t>Non, je préfère d’autres profils de conseil</t>
  </si>
  <si>
    <t>Oui, dès maintenant</t>
  </si>
  <si>
    <t>Oui, à moyen terme</t>
  </si>
  <si>
    <t>Pas encore, mais j’y pense</t>
  </si>
  <si>
    <t>Non</t>
  </si>
  <si>
    <t>Oui</t>
  </si>
  <si>
    <t>SubjectText</t>
  </si>
  <si>
    <t>Conseil en réduction des coûts énergétiques</t>
  </si>
  <si>
    <t>Intégration d’indicateurs environnementaux dans les tableaux de bord</t>
  </si>
  <si>
    <t>Analyse comptable pour identifier les leviers écologiques</t>
  </si>
  <si>
    <t>Aide au reporting extra-financier / durabilité</t>
  </si>
  <si>
    <t>Identification des aides publiques / subventions vertes</t>
  </si>
  <si>
    <t>Key</t>
  </si>
  <si>
    <t>MinScore</t>
  </si>
  <si>
    <t>MaxScore</t>
  </si>
  <si>
    <t>Label</t>
  </si>
  <si>
    <t>Header</t>
  </si>
  <si>
    <t>Positionnement</t>
  </si>
  <si>
    <t>Frein1</t>
  </si>
  <si>
    <t>Frein2</t>
  </si>
  <si>
    <t>Frein3</t>
  </si>
  <si>
    <t>Arg1</t>
  </si>
  <si>
    <t>Arg2</t>
  </si>
  <si>
    <t>Arg3</t>
  </si>
  <si>
    <t>Ton</t>
  </si>
  <si>
    <t>Réticent</t>
  </si>
  <si>
    <t>Profil 1 : RÉTICENT</t>
  </si>
  <si>
    <t>Recommandations</t>
  </si>
  <si>
    <t>Ne voit aucun intérêt à la transition écologique, ni à court ni à long terme. Peu ou pas engagé, souvent dans le déni ou préoccupé uniquement par la rentabilité immédiate.</t>
  </si>
  <si>
    <t>Vision de la transition comme une contrainte réglementaire inutile ou coûteuse</t>
  </si>
  <si>
    <t>Absence de perception d'intérêt ou de bénéfices</t>
  </si>
  <si>
    <t>Manque de temps ou surcharge</t>
  </si>
  <si>
    <t>Vous pouvez réduire vos coûts d'énergie et vos frais de fonctionnement (ex. déchets, transport) sans bouleverser votre activité.</t>
  </si>
  <si>
    <t>De nouvelles aides financières ou incitations fiscales sont accessibles aux entreprises qui s'engagent, même modestement.</t>
  </si>
  <si>
    <t>De plus en plus de vos clients vous demanderont des preuves d'engagement écologique : anticiper ces attentes vous évite des ruptures de contrats.</t>
  </si>
  <si>
    <t>rassurant, pédagogique, orienté pragmatisme et gains économiques.</t>
  </si>
  <si>
    <t>Prudent / Intermédiaire</t>
  </si>
  <si>
    <t>Profil 2 : PRUDENT / INTERMÉDIAIRE</t>
  </si>
  <si>
    <t>À Approfondir</t>
  </si>
  <si>
    <t>Sensibilisé, mais hésitant à s'engager. Voit l'intérêt mais doute du retour sur investissement ou de la faisabilité.</t>
  </si>
  <si>
    <t>Peur d'un investissement trop lourd</t>
  </si>
  <si>
    <t>Doutes sur les compétences internes</t>
  </si>
  <si>
    <t>Incertitude sur les bénéfices concrets</t>
  </si>
  <si>
    <t>Nous pouvons commencer par une analyse simple de vos charges pour identifier les leviers d'action à court terme.</t>
  </si>
  <si>
    <t>L'accompagnement du cabinet vous évite de tout faire seul : outils, plan d'action, indicateurs, tout est clé en main.</t>
  </si>
  <si>
    <t>Vous pouvez avancer à votre rythme : la démarche est progressive et adaptée à votre structure.</t>
  </si>
  <si>
    <t>engageant, valorisant la souplesse et l'assistance, orienté solution simple et accompagnée.</t>
  </si>
  <si>
    <t>Ouvert</t>
  </si>
  <si>
    <t>Profil 3 : OUVERT</t>
  </si>
  <si>
    <t>Bon Potentiel !</t>
  </si>
  <si>
    <t>Déjà sensibilisé, prêt à agir ou partiellement engagé. À la recherche d'un cadre ou d'un accompagnement structurant.</t>
  </si>
  <si>
    <t>Manque de méthode ou de stratégie claire</t>
  </si>
  <si>
    <t>Manque de ressources internes</t>
  </si>
  <si>
    <t>Besoin de valorisation externe</t>
  </si>
  <si>
    <t>Nous vous aidons à structurer votre démarche pour en faire un levier stratégique.</t>
  </si>
  <si>
    <t>L'analyse de vos comptes révèle des leviers de performance écologique.</t>
  </si>
  <si>
    <t>Votre engagement peut être mis en avant auprès de vos partenaires (label, communication, image de marque).</t>
  </si>
  <si>
    <t>mobilisateur, orienté sur la valeur stratégique et la montée en compétence.</t>
  </si>
  <si>
    <t>Proactif</t>
  </si>
  <si>
    <t>Profil 4 : PROACTIF</t>
  </si>
  <si>
    <t>Félicitations !</t>
  </si>
  <si>
    <t>Déjà engagé dans une stratégie claire. En recherche d'optimisation, de pilotage ou de valorisation plus poussée.</t>
  </si>
  <si>
    <t>Complexité de mise en œuvre</t>
  </si>
  <si>
    <t>Isolement ou manque d'outils de pilotage</t>
  </si>
  <si>
    <t>Besoin de reconnaissance externe</t>
  </si>
  <si>
    <t>Nous pouvons intégrer la dimension écologique dans vos tableaux de bord et vous aider à produire votre futur rapport de durabilité.</t>
  </si>
  <si>
    <t>Vous êtes éligible à de nouveaux financements verts : nous pouvons vous aider à les obtenir.</t>
  </si>
  <si>
    <t>Nous vous proposons des indicateurs personnalisés pour suivre l'impact de vos actions.</t>
  </si>
  <si>
    <t>expert, valorisant l'excellence, la performance, la conformité et l'anticipation réglementaire.</t>
  </si>
  <si>
    <t>Outil de profilage client</t>
  </si>
  <si>
    <t>Partie 1 – État des lieux de la démarche environnementale</t>
  </si>
  <si>
    <t>Votre réponse :</t>
  </si>
  <si>
    <t>Partie 2 – Freins, motivations et niveau d’intérêt</t>
  </si>
  <si>
    <t>Partie 3 – Perception du rôle du cabinet comptable</t>
  </si>
  <si>
    <t>Partie 4 – Niveau d’intérêt pour un accompagnement</t>
  </si>
  <si>
    <t>Le résultat se met à jour automatiquement dès que vous répondez - pas besoin de valider.</t>
  </si>
  <si>
    <t>Résultats du questionnaire</t>
  </si>
  <si>
    <t>Partie 1 (État des lieux) /12 :</t>
  </si>
  <si>
    <t>Partie 2 (Freins/Motivations) /10 :</t>
  </si>
  <si>
    <t>Partie 4 (Accompagnement) /8 :</t>
  </si>
  <si>
    <t>Total Brut /30 :</t>
  </si>
  <si>
    <t>Score Partie 3 - Perception /20 :</t>
  </si>
  <si>
    <t>Niveau de perception :</t>
  </si>
  <si>
    <t>Coefficient appliqué :</t>
  </si>
  <si>
    <t>Arguments à utiliser :</t>
  </si>
  <si>
    <t>Ton recommandé :</t>
  </si>
  <si>
    <t>Nom du client :</t>
  </si>
  <si>
    <t>Notes de l'expert-comptable :</t>
  </si>
  <si>
    <t>Pour un PDF : Fichier -&gt; Exporter -&gt; Créer un PDF/XPS. Pour reporter ces résultats dans la Trame de rapport, recopiez le profil et le score dans les champs prévus de ce classeur.</t>
  </si>
  <si>
    <t>Date</t>
  </si>
  <si>
    <t>ClientName</t>
  </si>
  <si>
    <t>TotalScore</t>
  </si>
  <si>
    <t>Profile</t>
  </si>
  <si>
    <t>Part1</t>
  </si>
  <si>
    <t>Part2</t>
  </si>
  <si>
    <t>Part3</t>
  </si>
  <si>
    <t>Part4</t>
  </si>
  <si>
    <t>Coefficient</t>
  </si>
  <si>
    <t>ExpertNotes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</si>
</sst>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rgb="FF02131B"/>
      <name val="Segoe UI"/>
      <family val="2"/>
    </font>
    <font>
      <b/>
      <sz val="10"/>
      <color rgb="FF02131B"/>
      <name val="Segoe UI"/>
      <family val="2"/>
    </font>
    <font>
      <b/>
      <sz val="16"/>
      <color rgb="FF02131B"/>
      <name val="Segoe UI"/>
      <family val="2"/>
    </font>
    <font>
      <b/>
      <sz val="11"/>
      <color rgb="FFFFFFFF"/>
      <name val="Segoe UI"/>
      <family val="2"/>
    </font>
    <font>
      <b/>
      <sz val="10.5"/>
      <color rgb="FF02131B"/>
      <name val="Segoe UI"/>
      <family val="2"/>
    </font>
    <font>
      <sz val="9"/>
      <color rgb="FF6C757D"/>
      <name val="Segoe UI"/>
      <family val="2"/>
    </font>
    <font>
      <sz val="8"/>
      <name val="Segoe UI"/>
      <family val="2"/>
    </font>
    <font>
      <b/>
      <sz val="12"/>
      <color rgb="FFFFFFFF"/>
      <name val="Segoe UI"/>
      <family val="2"/>
    </font>
    <font>
      <b/>
      <sz val="16"/>
      <color rgb="FF055C2C"/>
      <name val="Segoe UI"/>
      <family val="2"/>
    </font>
    <font>
      <b/>
      <sz val="14"/>
      <color rgb="FFFFFFFF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55C2C"/>
        <bgColor indexed="64"/>
      </patternFill>
    </fill>
    <fill>
      <patternFill patternType="solid">
        <fgColor rgb="FFF0F2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C107"/>
        <bgColor indexed="64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5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4" borderId="1" xfId="0" applyFont="1" applyFill="1" applyBorder="1" applyProtection="1"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Protection="1">
      <protection locked="0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4" borderId="1" xfId="0" applyFont="1" applyFill="1" applyBorder="1" applyAlignment="1" applyProtection="1">
      <alignment horizontal="center"/>
      <protection locked="0"/>
    </xf>
    <xf numFmtId="0" fontId="10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4" fillId="7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4" borderId="1" xfId="0" applyFont="1" applyFill="1" applyBorder="1" applyAlignment="1" applyProtection="1">
      <alignment vertical="top" wrapText="1"/>
      <protection locked="0"/>
    </xf>
    <xf numFmtId="0" fontId="8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fmlaLink="Profilage_Questionnaire!$P$24" lockText="1" noThreeD="1"/>
</file>

<file path=xl/ctrlProps/ctrlProp2.xml><?xml version="1.0" encoding="utf-8"?>
<formControlPr xmlns="http://schemas.microsoft.com/office/spreadsheetml/2009/9/main" objectType="CheckBox" fmlaLink="Profilage_Questionnaire!$P$25" lockText="1" noThreeD="1"/>
</file>

<file path=xl/ctrlProps/ctrlProp3.xml><?xml version="1.0" encoding="utf-8"?>
<formControlPr xmlns="http://schemas.microsoft.com/office/spreadsheetml/2009/9/main" objectType="CheckBox" fmlaLink="Profilage_Questionnaire!$P$26" lockText="1" noThreeD="1"/>
</file>

<file path=xl/ctrlProps/ctrlProp4.xml><?xml version="1.0" encoding="utf-8"?>
<formControlPr xmlns="http://schemas.microsoft.com/office/spreadsheetml/2009/9/main" objectType="CheckBox" fmlaLink="Profilage_Questionnaire!$P$27" lockText="1" noThreeD="1"/>
</file>

<file path=xl/ctrlProps/ctrlProp5.xml><?xml version="1.0" encoding="utf-8"?>
<formControlPr xmlns="http://schemas.microsoft.com/office/spreadsheetml/2009/9/main" objectType="CheckBox" fmlaLink="Profilage_Questionnaire!$P$28" lockText="1" noThreeD="1"/>
</file>

<file path=xl/ctrlProps/ctrlProp6.xml><?xml version="1.0" encoding="utf-8"?>
<formControlPr xmlns="http://schemas.microsoft.com/office/spreadsheetml/2009/9/main" objectType="CheckBox" fmlaLink="Profilage_Questionnaire!$P$33" lockText="1" noThreeD="1"/>
</file>

<file path=xl/ctrlProps/ctrlProp7.xml><?xml version="1.0" encoding="utf-8"?>
<formControlPr xmlns="http://schemas.microsoft.com/office/spreadsheetml/2009/9/main" objectType="CheckBox" fmlaLink="Profilage_Questionnaire!$P$34" lockText="1" noThreeD="1"/>
</file>

<file path=xl/ctrlProps/ctrlProp8.xml><?xml version="1.0" encoding="utf-8"?>
<formControlPr xmlns="http://schemas.microsoft.com/office/spreadsheetml/2009/9/main" objectType="CheckBox" fmlaLink="Profilage_Questionnaire!$P$35" lockText="1" noThreeD="1"/>
</file>

<file path=xl/ctrlProps/ctrlProp9.xml><?xml version="1.0" encoding="utf-8"?>
<formControlPr xmlns="http://schemas.microsoft.com/office/spreadsheetml/2009/9/main" objectType="CheckBox" fmlaLink="Profilage_Questionnaire!$P$36" lockText="1" noThreeD="1"/>
</file>

<file path=xl/ctrlProps/ctrlProp10.xml><?xml version="1.0" encoding="utf-8"?>
<formControlPr xmlns="http://schemas.microsoft.com/office/spreadsheetml/2009/9/main" objectType="CheckBox" fmlaLink="Profilage_Questionnaire!$P$37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rofilage_Resultats'!B4"/><Relationship Id="rId2" Type="http://schemas.openxmlformats.org/officeDocument/2006/relationships/hyperlink" Target="#'Profilage_Questionnaire'!B4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Profilage_Resultats'!B4"/><Relationship Id="rId2" Type="http://schemas.openxmlformats.org/officeDocument/2006/relationships/hyperlink" Target="#'Profilage_Questionnaire'!B4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50800</xdr:rowOff>
    </xdr:from>
    <xdr:to>
      <xdr:col>0</xdr:col>
      <xdr:colOff>457200</xdr:colOff>
      <xdr:row>2</xdr:row>
      <xdr:rowOff>50800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4F53A893-AD6D-9F33-CC6F-79DD9C8D14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8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25400</xdr:rowOff>
    </xdr:from>
    <xdr:to>
      <xdr:col>4</xdr:col>
      <xdr:colOff>408940</xdr:colOff>
      <xdr:row>2</xdr:row>
      <xdr:rowOff>76200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5442FBCB-E2F2-C732-228B-056A62FFD4CF}"/>
            </a:ext>
          </a:extLst>
        </xdr:cNvPr>
        <xdr:cNvSpPr txBox="1"/>
      </xdr:nvSpPr>
      <xdr:spPr>
        <a:xfrm>
          <a:off x="533400" y="25400"/>
          <a:ext cx="27940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r>
            <a:rPr lang="fr-FR" sz="1400" b="1">
              <a:solidFill>
                <a:srgbClr val="FFFFFF"/>
              </a:solidFill>
            </a:rPr>
            <a:t>Outil de profilage</a:t>
          </a:r>
          <a:endParaRPr lang="LID4096" sz="1400" b="1">
            <a:solidFill>
              <a:srgbClr val="FFFFFF"/>
            </a:solidFill>
          </a:endParaRPr>
        </a:p>
      </xdr:txBody>
    </xdr:sp>
    <xdr:clientData/>
  </xdr:twoCellAnchor>
  <xdr:twoCellAnchor>
    <xdr:from>
      <xdr:col>4</xdr:col>
      <xdr:colOff>386080</xdr:colOff>
      <xdr:row>0</xdr:row>
      <xdr:rowOff>50800</xdr:rowOff>
    </xdr:from>
    <xdr:to>
      <xdr:col>6</xdr:col>
      <xdr:colOff>579120</xdr:colOff>
      <xdr:row>2</xdr:row>
      <xdr:rowOff>50800</xdr:rowOff>
    </xdr:to>
    <xdr:sp macro="" textlink="">
      <xdr:nvSpPr>
        <xdr:cNvPr id="5" name="Rectangle : coins arrondi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C4B973-E8E2-5D31-34EC-72D69D3481ED}"/>
            </a:ext>
          </a:extLst>
        </xdr:cNvPr>
        <xdr:cNvSpPr/>
      </xdr:nvSpPr>
      <xdr:spPr>
        <a:xfrm>
          <a:off x="3556000" y="50800"/>
          <a:ext cx="1778000" cy="381000"/>
        </a:xfrm>
        <a:prstGeom prst="roundRect">
          <a:avLst/>
        </a:prstGeom>
        <a:solidFill>
          <a:srgbClr val="033D1D"/>
        </a:solidFill>
        <a:ln w="952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fr-FR" sz="1000" b="1">
              <a:solidFill>
                <a:srgbClr val="FFFFFF"/>
              </a:solidFill>
            </a:rPr>
            <a:t>Questionnaire</a:t>
          </a:r>
          <a:endParaRPr lang="LID4096" sz="1000" b="1">
            <a:solidFill>
              <a:srgbClr val="FFFFFF"/>
            </a:solidFill>
          </a:endParaRPr>
        </a:p>
      </xdr:txBody>
    </xdr:sp>
    <xdr:clientData/>
  </xdr:twoCellAnchor>
  <xdr:twoCellAnchor>
    <xdr:from>
      <xdr:col>6</xdr:col>
      <xdr:colOff>655320</xdr:colOff>
      <xdr:row>0</xdr:row>
      <xdr:rowOff>50800</xdr:rowOff>
    </xdr:from>
    <xdr:to>
      <xdr:col>9</xdr:col>
      <xdr:colOff>55880</xdr:colOff>
      <xdr:row>2</xdr:row>
      <xdr:rowOff>50800</xdr:rowOff>
    </xdr:to>
    <xdr:sp macro="" textlink="">
      <xdr:nvSpPr>
        <xdr:cNvPr id="6" name="Rectangle : coins arrondi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599FDDC-2806-8248-2FFC-302B58C21B2A}"/>
            </a:ext>
          </a:extLst>
        </xdr:cNvPr>
        <xdr:cNvSpPr/>
      </xdr:nvSpPr>
      <xdr:spPr>
        <a:xfrm>
          <a:off x="5410200" y="50800"/>
          <a:ext cx="1778000" cy="381000"/>
        </a:xfrm>
        <a:prstGeom prst="roundRect">
          <a:avLst/>
        </a:prstGeom>
        <a:solidFill>
          <a:srgbClr val="055C2C"/>
        </a:solidFill>
        <a:ln w="952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fr-FR" sz="1000" b="1">
              <a:solidFill>
                <a:srgbClr val="FFFFFF"/>
              </a:solidFill>
            </a:rPr>
            <a:t>Résultats</a:t>
          </a:r>
          <a:endParaRPr lang="LID4096" sz="1000" b="1">
            <a:solidFill>
              <a:srgbClr val="FFFFFF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10</xdr:col>
          <xdr:colOff>373380</xdr:colOff>
          <xdr:row>24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B740942-6132-5837-4C23-649F098DB5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 coût estimé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10</xdr:col>
          <xdr:colOff>373380</xdr:colOff>
          <xdr:row>25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B79228D4-FA96-AD01-C297-7DDA78F3D7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 manque de temps / de ressources humaines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10</xdr:col>
          <xdr:colOff>373380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367C4C3-BC57-6AF6-A5DF-754129B6F7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L’absence d’obligation réglementaire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10</xdr:col>
          <xdr:colOff>373380</xdr:colOff>
          <xdr:row>27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718C300-F878-75C1-BC80-DA7B88E1BE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 manque de compétences techniques ou d’accompagnement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10</xdr:col>
          <xdr:colOff>373380</xdr:colOff>
          <xdr:row>28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877A7EB1-CCFB-BB57-54CD-AB31C3D03A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Je ne perçois pas l’intérêt immédiat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32</xdr:row>
          <xdr:rowOff>0</xdr:rowOff>
        </xdr:from>
        <xdr:to>
          <xdr:col>10</xdr:col>
          <xdr:colOff>373380</xdr:colOff>
          <xdr:row>33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35690694-D664-CCA6-850F-D255B557F4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Respect des futures obligations réglementaires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33</xdr:row>
          <xdr:rowOff>0</xdr:rowOff>
        </xdr:from>
        <xdr:to>
          <xdr:col>10</xdr:col>
          <xdr:colOff>373380</xdr:colOff>
          <xdr:row>34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9B7BD774-372E-EAE5-6FB0-4A67A173C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Réduction des coûts (énergie, déchets, etc.)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34</xdr:row>
          <xdr:rowOff>0</xdr:rowOff>
        </xdr:from>
        <xdr:to>
          <xdr:col>10</xdr:col>
          <xdr:colOff>373380</xdr:colOff>
          <xdr:row>35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BB84235F-91A6-1C17-92C3-FB24F4C2AC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Valorisation de l’image de l’entreprise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35</xdr:row>
          <xdr:rowOff>0</xdr:rowOff>
        </xdr:from>
        <xdr:to>
          <xdr:col>10</xdr:col>
          <xdr:colOff>373380</xdr:colOff>
          <xdr:row>36</xdr:row>
          <xdr:rowOff>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3705554D-D4E5-E40D-5A38-F3DD4ADE79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Demandes de vos donneurs d’ordre / clients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36</xdr:row>
          <xdr:rowOff>0</xdr:rowOff>
        </xdr:from>
        <xdr:to>
          <xdr:col>10</xdr:col>
          <xdr:colOff>373380</xdr:colOff>
          <xdr:row>37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D7C38292-5E92-FDBC-55F1-ED53E896DF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LID4096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Accès à des financements ou des subventions</a:t>
              </a:r>
            </a:p>
          </xdr:txBody>
        </xdr:sp>
        <xdr:clientData/>
      </xdr:twoCellAnchor>
    </mc:Choice>
    <mc:Fallback/>
  </mc:AlternateContent>
  <xdr:twoCellAnchor>
    <xdr:from>
      <xdr:col>4</xdr:col>
      <xdr:colOff>0</xdr:colOff>
      <xdr:row>64</xdr:row>
      <xdr:rowOff>1</xdr:rowOff>
    </xdr:from>
    <xdr:to>
      <xdr:col>8</xdr:col>
      <xdr:colOff>467360</xdr:colOff>
      <xdr:row>66</xdr:row>
      <xdr:rowOff>101601</xdr:rowOff>
    </xdr:to>
    <xdr:sp macro="" textlink="">
      <xdr:nvSpPr>
        <xdr:cNvPr id="7" name="Rectangle : coins arrondi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2F2C8C2-BC60-EFBF-79A3-5C251A7FE3C0}"/>
            </a:ext>
          </a:extLst>
        </xdr:cNvPr>
        <xdr:cNvSpPr/>
      </xdr:nvSpPr>
      <xdr:spPr>
        <a:xfrm>
          <a:off x="2918460" y="15453361"/>
          <a:ext cx="3302000" cy="482600"/>
        </a:xfrm>
        <a:prstGeom prst="roundRect">
          <a:avLst/>
        </a:prstGeom>
        <a:solidFill>
          <a:srgbClr val="28A745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fr-FR" sz="1100" b="1">
              <a:solidFill>
                <a:srgbClr val="FFFFFF"/>
              </a:solidFill>
            </a:rPr>
            <a:t>Voir les résultats →</a:t>
          </a:r>
          <a:endParaRPr lang="LID4096" sz="1100" b="1">
            <a:solidFill>
              <a:srgbClr val="FFFFF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50800</xdr:rowOff>
    </xdr:from>
    <xdr:to>
      <xdr:col>0</xdr:col>
      <xdr:colOff>457200</xdr:colOff>
      <xdr:row>2</xdr:row>
      <xdr:rowOff>50800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0F997A4-28EB-7084-4169-6ACDF713D7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800"/>
          <a:ext cx="381000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0</xdr:row>
      <xdr:rowOff>25400</xdr:rowOff>
    </xdr:from>
    <xdr:to>
      <xdr:col>4</xdr:col>
      <xdr:colOff>408940</xdr:colOff>
      <xdr:row>2</xdr:row>
      <xdr:rowOff>76200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330199F0-E2B1-84D1-D332-D6C0330017EF}"/>
            </a:ext>
          </a:extLst>
        </xdr:cNvPr>
        <xdr:cNvSpPr txBox="1"/>
      </xdr:nvSpPr>
      <xdr:spPr>
        <a:xfrm>
          <a:off x="533400" y="25400"/>
          <a:ext cx="2794000" cy="431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r>
            <a:rPr lang="fr-FR" sz="1400" b="1">
              <a:solidFill>
                <a:srgbClr val="FFFFFF"/>
              </a:solidFill>
            </a:rPr>
            <a:t>Outil de profilage</a:t>
          </a:r>
          <a:endParaRPr lang="LID4096" sz="1400" b="1">
            <a:solidFill>
              <a:srgbClr val="FFFFFF"/>
            </a:solidFill>
          </a:endParaRPr>
        </a:p>
      </xdr:txBody>
    </xdr:sp>
    <xdr:clientData/>
  </xdr:twoCellAnchor>
  <xdr:twoCellAnchor>
    <xdr:from>
      <xdr:col>4</xdr:col>
      <xdr:colOff>386080</xdr:colOff>
      <xdr:row>0</xdr:row>
      <xdr:rowOff>50800</xdr:rowOff>
    </xdr:from>
    <xdr:to>
      <xdr:col>6</xdr:col>
      <xdr:colOff>579120</xdr:colOff>
      <xdr:row>2</xdr:row>
      <xdr:rowOff>50800</xdr:rowOff>
    </xdr:to>
    <xdr:sp macro="" textlink="">
      <xdr:nvSpPr>
        <xdr:cNvPr id="5" name="Rectangle : coins arrondi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5DCE2B-D561-CC9A-4899-2752494B3022}"/>
            </a:ext>
          </a:extLst>
        </xdr:cNvPr>
        <xdr:cNvSpPr/>
      </xdr:nvSpPr>
      <xdr:spPr>
        <a:xfrm>
          <a:off x="3556000" y="50800"/>
          <a:ext cx="1778000" cy="381000"/>
        </a:xfrm>
        <a:prstGeom prst="roundRect">
          <a:avLst/>
        </a:prstGeom>
        <a:solidFill>
          <a:srgbClr val="055C2C"/>
        </a:solidFill>
        <a:ln w="952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fr-FR" sz="1000" b="1">
              <a:solidFill>
                <a:srgbClr val="FFFFFF"/>
              </a:solidFill>
            </a:rPr>
            <a:t>Questionnaire</a:t>
          </a:r>
          <a:endParaRPr lang="LID4096" sz="1000" b="1">
            <a:solidFill>
              <a:srgbClr val="FFFFFF"/>
            </a:solidFill>
          </a:endParaRPr>
        </a:p>
      </xdr:txBody>
    </xdr:sp>
    <xdr:clientData/>
  </xdr:twoCellAnchor>
  <xdr:twoCellAnchor>
    <xdr:from>
      <xdr:col>6</xdr:col>
      <xdr:colOff>655320</xdr:colOff>
      <xdr:row>0</xdr:row>
      <xdr:rowOff>50800</xdr:rowOff>
    </xdr:from>
    <xdr:to>
      <xdr:col>9</xdr:col>
      <xdr:colOff>55880</xdr:colOff>
      <xdr:row>2</xdr:row>
      <xdr:rowOff>50800</xdr:rowOff>
    </xdr:to>
    <xdr:sp macro="" textlink="">
      <xdr:nvSpPr>
        <xdr:cNvPr id="6" name="Rectangle : coins arrondi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B5F837-ACE8-D333-8AF3-50DB40E29EB5}"/>
            </a:ext>
          </a:extLst>
        </xdr:cNvPr>
        <xdr:cNvSpPr/>
      </xdr:nvSpPr>
      <xdr:spPr>
        <a:xfrm>
          <a:off x="5410200" y="50800"/>
          <a:ext cx="1778000" cy="381000"/>
        </a:xfrm>
        <a:prstGeom prst="roundRect">
          <a:avLst/>
        </a:prstGeom>
        <a:solidFill>
          <a:srgbClr val="033D1D"/>
        </a:solidFill>
        <a:ln w="9525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fr-FR" sz="1000" b="1">
              <a:solidFill>
                <a:srgbClr val="FFFFFF"/>
              </a:solidFill>
            </a:rPr>
            <a:t>Résultats</a:t>
          </a:r>
          <a:endParaRPr lang="LID4096" sz="1000" b="1">
            <a:solidFill>
              <a:srgbClr val="FFFF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5B47-28C2-4F69-A45B-4D0816EB6EDD}">
  <dimension ref="A1:P67"/>
  <sheetViews>
    <sheetView showGridLines="0" tabSelected="1" workbookViewId="0"/>
  </sheetViews>
  <sheetFormatPr baseColWidth="10" defaultRowHeight="15" x14ac:dyDescent="0.35"/>
  <cols>
    <col min="1" max="1" width="11.5546875" style="1"/>
    <col min="2" max="13" width="10.33203125" style="1" customWidth="1"/>
    <col min="14" max="14" width="11.5546875" style="1"/>
    <col min="15" max="15" width="2.77734375" style="1" customWidth="1"/>
    <col min="16" max="16" width="0" style="1" hidden="1" customWidth="1"/>
    <col min="17" max="16384" width="11.5546875" style="1"/>
  </cols>
  <sheetData>
    <row r="1" spans="1:14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4" ht="25.95" customHeight="1" x14ac:dyDescent="0.35">
      <c r="B4" s="4" t="s">
        <v>115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6" spans="1:14" ht="22.05" customHeight="1" x14ac:dyDescent="0.35">
      <c r="B6" s="5" t="s">
        <v>116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8" spans="1:14" ht="30" customHeight="1" x14ac:dyDescent="0.35">
      <c r="B8" s="6" t="s">
        <v>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4" ht="19.95" customHeight="1" x14ac:dyDescent="0.35">
      <c r="C9" s="7" t="s">
        <v>117</v>
      </c>
      <c r="E9" s="8"/>
      <c r="F9" s="8"/>
      <c r="G9" s="8"/>
      <c r="H9" s="8"/>
      <c r="I9" s="8"/>
      <c r="J9" s="8"/>
    </row>
    <row r="12" spans="1:14" ht="30" customHeight="1" x14ac:dyDescent="0.35">
      <c r="B12" s="6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4" ht="19.95" customHeight="1" x14ac:dyDescent="0.35">
      <c r="C13" s="7" t="s">
        <v>117</v>
      </c>
      <c r="E13" s="8"/>
      <c r="F13" s="8"/>
      <c r="G13" s="8"/>
      <c r="H13" s="8"/>
      <c r="I13" s="8"/>
      <c r="J13" s="8"/>
    </row>
    <row r="16" spans="1:14" ht="30" customHeight="1" x14ac:dyDescent="0.35">
      <c r="B16" s="6" t="s">
        <v>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2:16" ht="19.95" customHeight="1" x14ac:dyDescent="0.35">
      <c r="C17" s="7" t="s">
        <v>117</v>
      </c>
      <c r="E17" s="8"/>
      <c r="F17" s="8"/>
      <c r="G17" s="8"/>
      <c r="H17" s="8"/>
      <c r="I17" s="8"/>
      <c r="J17" s="8"/>
    </row>
    <row r="20" spans="2:16" ht="22.05" customHeight="1" x14ac:dyDescent="0.35">
      <c r="B20" s="5" t="s">
        <v>118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2" spans="2:16" ht="30" customHeight="1" x14ac:dyDescent="0.35">
      <c r="B22" s="6" t="s">
        <v>10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2:16" ht="16.05" customHeight="1" x14ac:dyDescent="0.35">
      <c r="B23" s="9" t="s">
        <v>11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2:16" ht="18" customHeight="1" x14ac:dyDescent="0.35">
      <c r="P24" s="10" t="b">
        <v>0</v>
      </c>
    </row>
    <row r="25" spans="2:16" ht="18" customHeight="1" x14ac:dyDescent="0.35">
      <c r="P25" s="10" t="b">
        <v>0</v>
      </c>
    </row>
    <row r="26" spans="2:16" ht="18" customHeight="1" x14ac:dyDescent="0.35">
      <c r="P26" s="10" t="b">
        <v>0</v>
      </c>
    </row>
    <row r="27" spans="2:16" ht="18" customHeight="1" x14ac:dyDescent="0.35">
      <c r="P27" s="10" t="b">
        <v>0</v>
      </c>
    </row>
    <row r="28" spans="2:16" ht="18" customHeight="1" x14ac:dyDescent="0.35">
      <c r="P28" s="10" t="b">
        <v>0</v>
      </c>
    </row>
    <row r="31" spans="2:16" ht="30" customHeight="1" x14ac:dyDescent="0.35">
      <c r="B31" s="6" t="s">
        <v>12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2:16" ht="16.05" customHeight="1" x14ac:dyDescent="0.35">
      <c r="B32" s="9" t="s">
        <v>11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2:16" ht="18" customHeight="1" x14ac:dyDescent="0.35">
      <c r="P33" s="10" t="b">
        <v>0</v>
      </c>
    </row>
    <row r="34" spans="2:16" ht="18" customHeight="1" x14ac:dyDescent="0.35">
      <c r="P34" s="10" t="b">
        <v>0</v>
      </c>
    </row>
    <row r="35" spans="2:16" ht="18" customHeight="1" x14ac:dyDescent="0.35">
      <c r="P35" s="10" t="b">
        <v>0</v>
      </c>
    </row>
    <row r="36" spans="2:16" ht="18" customHeight="1" x14ac:dyDescent="0.35">
      <c r="P36" s="10" t="b">
        <v>0</v>
      </c>
    </row>
    <row r="37" spans="2:16" ht="18" customHeight="1" x14ac:dyDescent="0.35">
      <c r="P37" s="10" t="b">
        <v>0</v>
      </c>
    </row>
    <row r="40" spans="2:16" ht="30" customHeight="1" x14ac:dyDescent="0.35">
      <c r="B40" s="6" t="s">
        <v>13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6" ht="19.95" customHeight="1" x14ac:dyDescent="0.35">
      <c r="C41" s="7" t="s">
        <v>117</v>
      </c>
      <c r="E41" s="8"/>
      <c r="F41" s="8"/>
      <c r="G41" s="8"/>
      <c r="H41" s="8"/>
      <c r="I41" s="8"/>
      <c r="J41" s="8"/>
    </row>
    <row r="44" spans="2:16" ht="22.05" customHeight="1" x14ac:dyDescent="0.35">
      <c r="B44" s="5" t="s">
        <v>119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6" spans="2:16" ht="30" customHeight="1" x14ac:dyDescent="0.35">
      <c r="B46" s="6" t="s">
        <v>15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6" ht="16.05" customHeight="1" x14ac:dyDescent="0.35">
      <c r="B47" s="9" t="s">
        <v>16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2:16" ht="19.95" customHeight="1" x14ac:dyDescent="0.35">
      <c r="C48" s="12" t="s">
        <v>53</v>
      </c>
      <c r="D48" s="12"/>
      <c r="E48" s="12"/>
      <c r="F48" s="12"/>
      <c r="G48" s="12"/>
      <c r="H48" s="12"/>
      <c r="I48" s="12"/>
      <c r="K48" s="13"/>
    </row>
    <row r="49" spans="2:13" ht="19.95" customHeight="1" x14ac:dyDescent="0.35">
      <c r="C49" s="12" t="s">
        <v>54</v>
      </c>
      <c r="D49" s="12"/>
      <c r="E49" s="12"/>
      <c r="F49" s="12"/>
      <c r="G49" s="12"/>
      <c r="H49" s="12"/>
      <c r="I49" s="12"/>
      <c r="K49" s="13"/>
    </row>
    <row r="50" spans="2:13" ht="19.95" customHeight="1" x14ac:dyDescent="0.35">
      <c r="C50" s="12" t="s">
        <v>55</v>
      </c>
      <c r="D50" s="12"/>
      <c r="E50" s="12"/>
      <c r="F50" s="12"/>
      <c r="G50" s="12"/>
      <c r="H50" s="12"/>
      <c r="I50" s="12"/>
      <c r="K50" s="13"/>
    </row>
    <row r="51" spans="2:13" ht="19.95" customHeight="1" x14ac:dyDescent="0.35">
      <c r="C51" s="12" t="s">
        <v>56</v>
      </c>
      <c r="D51" s="12"/>
      <c r="E51" s="12"/>
      <c r="F51" s="12"/>
      <c r="G51" s="12"/>
      <c r="H51" s="12"/>
      <c r="I51" s="12"/>
      <c r="K51" s="13"/>
    </row>
    <row r="52" spans="2:13" ht="19.95" customHeight="1" x14ac:dyDescent="0.35">
      <c r="C52" s="12" t="s">
        <v>57</v>
      </c>
      <c r="D52" s="12"/>
      <c r="E52" s="12"/>
      <c r="F52" s="12"/>
      <c r="G52" s="12"/>
      <c r="H52" s="12"/>
      <c r="I52" s="12"/>
      <c r="K52" s="13"/>
    </row>
    <row r="55" spans="2:13" ht="22.05" customHeight="1" x14ac:dyDescent="0.35">
      <c r="B55" s="5" t="s">
        <v>120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7" spans="2:13" ht="30" customHeight="1" x14ac:dyDescent="0.35">
      <c r="B57" s="6" t="s">
        <v>17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ht="19.95" customHeight="1" x14ac:dyDescent="0.35">
      <c r="C58" s="7" t="s">
        <v>117</v>
      </c>
      <c r="E58" s="8"/>
      <c r="F58" s="8"/>
      <c r="G58" s="8"/>
      <c r="H58" s="8"/>
      <c r="I58" s="8"/>
      <c r="J58" s="8"/>
    </row>
    <row r="61" spans="2:13" ht="30" customHeight="1" x14ac:dyDescent="0.35">
      <c r="B61" s="6" t="s">
        <v>18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ht="19.95" customHeight="1" x14ac:dyDescent="0.35">
      <c r="C62" s="7" t="s">
        <v>117</v>
      </c>
      <c r="E62" s="8"/>
      <c r="F62" s="8"/>
      <c r="G62" s="8"/>
      <c r="H62" s="8"/>
      <c r="I62" s="8"/>
      <c r="J62" s="8"/>
    </row>
    <row r="67" spans="2:10" x14ac:dyDescent="0.35">
      <c r="B67" s="9" t="s">
        <v>121</v>
      </c>
      <c r="C67" s="9"/>
      <c r="D67" s="9"/>
      <c r="E67" s="9"/>
      <c r="F67" s="9"/>
      <c r="G67" s="9"/>
      <c r="H67" s="9"/>
      <c r="I67" s="9"/>
      <c r="J67" s="9"/>
    </row>
  </sheetData>
  <mergeCells count="29">
    <mergeCell ref="B57:M57"/>
    <mergeCell ref="E58:J58"/>
    <mergeCell ref="B61:M61"/>
    <mergeCell ref="E62:J62"/>
    <mergeCell ref="B67:J67"/>
    <mergeCell ref="C48:I48"/>
    <mergeCell ref="C49:I49"/>
    <mergeCell ref="C50:I50"/>
    <mergeCell ref="C51:I51"/>
    <mergeCell ref="C52:I52"/>
    <mergeCell ref="B55:M55"/>
    <mergeCell ref="B32:M32"/>
    <mergeCell ref="B40:M40"/>
    <mergeCell ref="E41:J41"/>
    <mergeCell ref="B44:M44"/>
    <mergeCell ref="B46:M46"/>
    <mergeCell ref="B47:M47"/>
    <mergeCell ref="B16:M16"/>
    <mergeCell ref="E17:J17"/>
    <mergeCell ref="B20:M20"/>
    <mergeCell ref="B22:M22"/>
    <mergeCell ref="B23:M23"/>
    <mergeCell ref="B31:M31"/>
    <mergeCell ref="B4:M4"/>
    <mergeCell ref="B6:M6"/>
    <mergeCell ref="B8:M8"/>
    <mergeCell ref="E9:J9"/>
    <mergeCell ref="B12:M12"/>
    <mergeCell ref="E13:J13"/>
  </mergeCells>
  <dataValidations count="7">
    <dataValidation type="list" allowBlank="1" showInputMessage="1" showErrorMessage="1" sqref="E9:J9" xr:uid="{D950E571-27AC-4C4C-9597-FE0CAE46C7E6}">
      <formula1>Ref_Q1_OptionList</formula1>
    </dataValidation>
    <dataValidation type="list" allowBlank="1" showInputMessage="1" showErrorMessage="1" sqref="E13:J13" xr:uid="{D7EE6255-1B5E-4C2A-9285-65C9EA61B941}">
      <formula1>Ref_Q2_OptionList</formula1>
    </dataValidation>
    <dataValidation type="list" allowBlank="1" showInputMessage="1" showErrorMessage="1" sqref="E17:J17" xr:uid="{748FCE5D-F2F1-41DA-BC81-00D3C3E6CF08}">
      <formula1>Ref_Q3_OptionList</formula1>
    </dataValidation>
    <dataValidation type="list" allowBlank="1" showInputMessage="1" showErrorMessage="1" sqref="E41:J41" xr:uid="{283B9965-FC10-4264-BA5B-4F6F9C73C3DC}">
      <formula1>Ref_Q6_OptionList</formula1>
    </dataValidation>
    <dataValidation type="list" allowBlank="1" showInputMessage="1" showErrorMessage="1" sqref="K48 K49 K50 K51 K52" xr:uid="{E46C162E-C31A-47F9-9B6D-E1220D8234D5}">
      <mc:AlternateContent xmlns:x12ac="http://schemas.microsoft.com/office/spreadsheetml/2011/1/ac" xmlns:mc="http://schemas.openxmlformats.org/markup-compatibility/2006">
        <mc:Choice Requires="x12ac">
          <x12ac:list>"1,2,3,4"</x12ac:list>
        </mc:Choice>
        <mc:Fallback>
          <formula1>"1,2,3,4"</formula1>
        </mc:Fallback>
      </mc:AlternateContent>
    </dataValidation>
    <dataValidation type="list" allowBlank="1" showInputMessage="1" showErrorMessage="1" sqref="E58:J58" xr:uid="{7EF9A006-0CCC-4F61-8DF3-881BB2AD8626}">
      <formula1>Ref_Q8_OptionList</formula1>
    </dataValidation>
    <dataValidation type="list" allowBlank="1" showInputMessage="1" showErrorMessage="1" sqref="E62:J62" xr:uid="{BC0DDBBE-B8AB-4EF4-9885-8EED3C883E9E}">
      <formula1>Ref_Q9_OptionList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23</xdr:row>
                    <xdr:rowOff>0</xdr:rowOff>
                  </from>
                  <to>
                    <xdr:col>10</xdr:col>
                    <xdr:colOff>373380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0</xdr:colOff>
                    <xdr:row>24</xdr:row>
                    <xdr:rowOff>0</xdr:rowOff>
                  </from>
                  <to>
                    <xdr:col>10</xdr:col>
                    <xdr:colOff>373380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10</xdr:col>
                    <xdr:colOff>373380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</xdr:col>
                    <xdr:colOff>0</xdr:colOff>
                    <xdr:row>26</xdr:row>
                    <xdr:rowOff>0</xdr:rowOff>
                  </from>
                  <to>
                    <xdr:col>10</xdr:col>
                    <xdr:colOff>373380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10</xdr:col>
                    <xdr:colOff>373380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32</xdr:row>
                    <xdr:rowOff>0</xdr:rowOff>
                  </from>
                  <to>
                    <xdr:col>10</xdr:col>
                    <xdr:colOff>373380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0</xdr:colOff>
                    <xdr:row>33</xdr:row>
                    <xdr:rowOff>0</xdr:rowOff>
                  </from>
                  <to>
                    <xdr:col>10</xdr:col>
                    <xdr:colOff>373380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34</xdr:row>
                    <xdr:rowOff>0</xdr:rowOff>
                  </from>
                  <to>
                    <xdr:col>10</xdr:col>
                    <xdr:colOff>373380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3</xdr:col>
                    <xdr:colOff>0</xdr:colOff>
                    <xdr:row>35</xdr:row>
                    <xdr:rowOff>0</xdr:rowOff>
                  </from>
                  <to>
                    <xdr:col>10</xdr:col>
                    <xdr:colOff>373380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3</xdr:col>
                    <xdr:colOff>0</xdr:colOff>
                    <xdr:row>36</xdr:row>
                    <xdr:rowOff>0</xdr:rowOff>
                  </from>
                  <to>
                    <xdr:col>10</xdr:col>
                    <xdr:colOff>373380</xdr:colOff>
                    <xdr:row>37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4C054-44F0-49CA-A123-99656406637F}">
  <dimension ref="A1:Q40"/>
  <sheetViews>
    <sheetView showGridLines="0" workbookViewId="0"/>
  </sheetViews>
  <sheetFormatPr baseColWidth="10" defaultRowHeight="15" x14ac:dyDescent="0.35"/>
  <cols>
    <col min="1" max="1" width="11.5546875" style="1"/>
    <col min="2" max="13" width="10.33203125" style="1" customWidth="1"/>
    <col min="14" max="16384" width="11.5546875" style="1"/>
  </cols>
  <sheetData>
    <row r="1" spans="1:17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7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spans="1:17" ht="24" customHeight="1" x14ac:dyDescent="0.35">
      <c r="B4" s="14" t="s">
        <v>122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6" spans="1:17" x14ac:dyDescent="0.35">
      <c r="B6" s="11" t="s">
        <v>123</v>
      </c>
      <c r="C6" s="11"/>
      <c r="D6" s="11"/>
      <c r="E6" s="11"/>
      <c r="F6" s="11"/>
      <c r="G6" s="15">
        <f>SUMPRODUCT((INDEX(Ref_Options,0,1)=1)*(INDEX(Ref_Options,0,3)=Q1_Answer)*INDEX(Ref_Options,0,4))+SUMPRODUCT((INDEX(Ref_Options,0,1)=2)*(INDEX(Ref_Options,0,3)=Q2_Answer)*INDEX(Ref_Options,0,4))+SUMPRODUCT((INDEX(Ref_Options,0,1)=3)*(INDEX(Ref_Options,0,3)=Q3_Answer)*INDEX(Ref_Options,0,4))</f>
        <v>0</v>
      </c>
      <c r="H6" s="15"/>
      <c r="I6" s="15"/>
    </row>
    <row r="7" spans="1:17" x14ac:dyDescent="0.35">
      <c r="B7" s="11" t="s">
        <v>124</v>
      </c>
      <c r="C7" s="11"/>
      <c r="D7" s="11"/>
      <c r="E7" s="11"/>
      <c r="F7" s="11"/>
      <c r="G7" s="15">
        <f>-COUNTIF(Q4_Opts,TRUE)+COUNTIF(Q5_Opts,TRUE)+SUMPRODUCT((INDEX(Ref_Options,0,1)=6)*(INDEX(Ref_Options,0,3)=Q6_Answer)*INDEX(Ref_Options,0,4))</f>
        <v>0</v>
      </c>
      <c r="H7" s="15"/>
      <c r="I7" s="15"/>
    </row>
    <row r="8" spans="1:17" x14ac:dyDescent="0.35">
      <c r="B8" s="11" t="s">
        <v>125</v>
      </c>
      <c r="C8" s="11"/>
      <c r="D8" s="11"/>
      <c r="E8" s="11"/>
      <c r="F8" s="11"/>
      <c r="G8" s="15">
        <f>SUMPRODUCT((INDEX(Ref_Options,0,1)=8)*(INDEX(Ref_Options,0,3)=Q8_Answer)*INDEX(Ref_Options,0,4))+SUMPRODUCT((INDEX(Ref_Options,0,1)=9)*(INDEX(Ref_Options,0,3)=Q9_Answer)*INDEX(Ref_Options,0,4))</f>
        <v>0</v>
      </c>
      <c r="H8" s="15"/>
      <c r="I8" s="15"/>
    </row>
    <row r="9" spans="1:17" x14ac:dyDescent="0.35">
      <c r="B9" s="11" t="s">
        <v>126</v>
      </c>
      <c r="C9" s="11"/>
      <c r="D9" s="11"/>
      <c r="E9" s="11"/>
      <c r="F9" s="11"/>
      <c r="G9" s="15">
        <f>Res_Part1+Res_Part2+Res_Part4</f>
        <v>0</v>
      </c>
      <c r="H9" s="15"/>
      <c r="I9" s="15"/>
    </row>
    <row r="10" spans="1:17" x14ac:dyDescent="0.35">
      <c r="B10" s="11" t="s">
        <v>127</v>
      </c>
      <c r="C10" s="11"/>
      <c r="D10" s="11"/>
      <c r="E10" s="11"/>
      <c r="F10" s="11"/>
      <c r="G10" s="15">
        <f>SUM(Q7_Scores)</f>
        <v>0</v>
      </c>
      <c r="H10" s="15"/>
      <c r="I10" s="15"/>
    </row>
    <row r="11" spans="1:17" x14ac:dyDescent="0.35">
      <c r="B11" s="11" t="s">
        <v>128</v>
      </c>
      <c r="C11" s="11"/>
      <c r="D11" s="11"/>
      <c r="E11" s="11"/>
      <c r="F11" s="11"/>
      <c r="G11" s="15" t="str">
        <f>IF(Res_Part3&gt;=16,"Très bonne",IF(Res_Part3&gt;=11,"Moyenne","Faible"))</f>
        <v>Faible</v>
      </c>
      <c r="H11" s="15"/>
      <c r="I11" s="15"/>
    </row>
    <row r="12" spans="1:17" x14ac:dyDescent="0.35">
      <c r="B12" s="11" t="s">
        <v>129</v>
      </c>
      <c r="C12" s="11"/>
      <c r="D12" s="11"/>
      <c r="E12" s="11"/>
      <c r="F12" s="11"/>
      <c r="G12" s="15">
        <f>ROUND(Res_CoefRaw,2)</f>
        <v>1</v>
      </c>
      <c r="H12" s="15"/>
      <c r="I12" s="15"/>
    </row>
    <row r="14" spans="1:17" x14ac:dyDescent="0.35">
      <c r="B14" s="16" t="str">
        <f>IF(Q1_Answer="","Complétez le questionnaire pour voir votre score.",Res_Brut&amp;" x "&amp;TEXT(Res_CoefRaw,"0,00")&amp;" = "&amp;Res_ScoreFinal&amp;"/30")</f>
        <v>Complétez le questionnaire pour voir votre score.</v>
      </c>
      <c r="C14" s="16"/>
      <c r="D14" s="16"/>
      <c r="E14" s="16"/>
      <c r="F14" s="16"/>
      <c r="G14" s="16"/>
      <c r="H14" s="16"/>
      <c r="I14" s="16"/>
      <c r="Q14" s="1">
        <f>MIN(30,MAX(1,ROUND(Res_Brut*Res_CoefRaw,0)))</f>
        <v>1</v>
      </c>
    </row>
    <row r="15" spans="1:17" x14ac:dyDescent="0.35">
      <c r="B15" s="16"/>
      <c r="C15" s="16"/>
      <c r="D15" s="16"/>
      <c r="E15" s="16"/>
      <c r="F15" s="16"/>
      <c r="G15" s="16"/>
      <c r="H15" s="16"/>
      <c r="I15" s="16"/>
      <c r="Q15" s="1" t="str">
        <f>LOOKUP(Res_ScoreFinal,INDEX(Ref_Profiles,0,2),INDEX(Ref_Profiles,0,1))</f>
        <v>Réticent</v>
      </c>
    </row>
    <row r="16" spans="1:17" x14ac:dyDescent="0.35">
      <c r="Q16" s="1">
        <f>IF(Res_Part3&gt;=16,1,IF(Res_Part3&gt;=11,0.75,0.6))</f>
        <v>0.6</v>
      </c>
    </row>
    <row r="17" spans="2:17" ht="28.05" customHeight="1" x14ac:dyDescent="0.35">
      <c r="B17" s="17" t="str">
        <f>IF(Q1_Answer="","En attente de réponses...",LOOKUP(Res_ScoreFinal,INDEX(Ref_Profiles,0,2),INDEX(Ref_Profiles,0,5))&amp;" - "&amp;LOOKUP(Res_ScoreFinal,INDEX(Ref_Profiles,0,2),INDEX(Ref_Profiles,0,4)))</f>
        <v>En attente de réponses...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Q17" s="1">
        <f>IF(Res_Brut*Res_CoefBase&gt;30,30/Res_Brut,IF(Res_Brut*Res_CoefBase&lt;1,1/MAX(1,Res_Brut),Res_CoefBase))</f>
        <v>1</v>
      </c>
    </row>
    <row r="18" spans="2:17" x14ac:dyDescent="0.35">
      <c r="B18" s="18" t="str">
        <f>IF(Q1_Answer="","",LOOKUP(Res_ScoreFinal,INDEX(Ref_Profiles,0,2),INDEX(Ref_Profiles,0,6)))</f>
        <v/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2:17" x14ac:dyDescent="0.35"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1" spans="2:17" x14ac:dyDescent="0.35">
      <c r="B21" s="19" t="str">
        <f>IF(Res_ProfilKey="Proactif","Freins potentiels :","Freins à lever :")</f>
        <v>Freins à lever :</v>
      </c>
      <c r="C21" s="19"/>
      <c r="D21" s="19"/>
      <c r="E21" s="19"/>
      <c r="F21" s="19"/>
      <c r="H21" s="19" t="s">
        <v>130</v>
      </c>
      <c r="I21" s="19"/>
      <c r="J21" s="19"/>
      <c r="K21" s="19"/>
      <c r="L21" s="19"/>
      <c r="M21" s="19"/>
    </row>
    <row r="22" spans="2:17" x14ac:dyDescent="0.35">
      <c r="B22" s="20" t="str">
        <f>IF(Q1_Answer="","","- "&amp;LOOKUP(Res_ScoreFinal,INDEX(Ref_Profiles,0,2),INDEX(Ref_Profiles,0,7))&amp;CHAR(10)&amp;"- "&amp;LOOKUP(Res_ScoreFinal,INDEX(Ref_Profiles,0,2),INDEX(Ref_Profiles,0,8))&amp;CHAR(10)&amp;"- "&amp;LOOKUP(Res_ScoreFinal,INDEX(Ref_Profiles,0,2),INDEX(Ref_Profiles,0,9)))</f>
        <v/>
      </c>
      <c r="C22" s="20"/>
      <c r="D22" s="20"/>
      <c r="E22" s="20"/>
      <c r="F22" s="20"/>
      <c r="H22" s="20" t="str">
        <f>IF(Q1_Answer="","",CHAR(34)&amp;LOOKUP(Res_ScoreFinal,INDEX(Ref_Profiles,0,2),INDEX(Ref_Profiles,0,10))&amp;CHAR(34)&amp;CHAR(10)&amp;CHAR(34)&amp;LOOKUP(Res_ScoreFinal,INDEX(Ref_Profiles,0,2),INDEX(Ref_Profiles,0,11))&amp;CHAR(34)&amp;CHAR(10)&amp;CHAR(34)&amp;LOOKUP(Res_ScoreFinal,INDEX(Ref_Profiles,0,2),INDEX(Ref_Profiles,0,12))&amp;CHAR(34))</f>
        <v/>
      </c>
      <c r="I22" s="20"/>
      <c r="J22" s="20"/>
      <c r="K22" s="20"/>
      <c r="L22" s="20"/>
      <c r="M22" s="20"/>
    </row>
    <row r="23" spans="2:17" x14ac:dyDescent="0.35">
      <c r="B23" s="20"/>
      <c r="C23" s="20"/>
      <c r="D23" s="20"/>
      <c r="E23" s="20"/>
      <c r="F23" s="20"/>
      <c r="H23" s="20"/>
      <c r="I23" s="20"/>
      <c r="J23" s="20"/>
      <c r="K23" s="20"/>
      <c r="L23" s="20"/>
      <c r="M23" s="20"/>
    </row>
    <row r="24" spans="2:17" x14ac:dyDescent="0.35">
      <c r="B24" s="20"/>
      <c r="C24" s="20"/>
      <c r="D24" s="20"/>
      <c r="E24" s="20"/>
      <c r="F24" s="20"/>
      <c r="H24" s="20"/>
      <c r="I24" s="20"/>
      <c r="J24" s="20"/>
      <c r="K24" s="20"/>
      <c r="L24" s="20"/>
      <c r="M24" s="20"/>
    </row>
    <row r="25" spans="2:17" x14ac:dyDescent="0.35">
      <c r="B25" s="20"/>
      <c r="C25" s="20"/>
      <c r="D25" s="20"/>
      <c r="E25" s="20"/>
      <c r="F25" s="20"/>
      <c r="H25" s="20"/>
      <c r="I25" s="20"/>
      <c r="J25" s="20"/>
      <c r="K25" s="20"/>
      <c r="L25" s="20"/>
      <c r="M25" s="20"/>
    </row>
    <row r="27" spans="2:17" x14ac:dyDescent="0.35">
      <c r="B27" s="19" t="s">
        <v>131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2:17" x14ac:dyDescent="0.35">
      <c r="B28" s="21" t="str">
        <f>IF(Q1_Answer="","",LOOKUP(Res_ScoreFinal,INDEX(Ref_Profiles,0,2),INDEX(Ref_Profiles,0,13)))</f>
        <v/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2:17" x14ac:dyDescent="0.35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2:17" x14ac:dyDescent="0.35">
      <c r="B30" s="22" t="str">
        <f>IF(Res_ProfilKey="Proactif","⚠ Le client a peut-être les données pour l'utilisation de l'outil Impact Durabilité By la Source","")</f>
        <v/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2:17" x14ac:dyDescent="0.35">
      <c r="B31" s="23" t="s">
        <v>132</v>
      </c>
      <c r="D31" s="8"/>
      <c r="E31" s="8"/>
      <c r="F31" s="8"/>
      <c r="G31" s="8"/>
    </row>
    <row r="33" spans="2:13" x14ac:dyDescent="0.35">
      <c r="B33" s="23" t="s">
        <v>133</v>
      </c>
    </row>
    <row r="34" spans="2:13" x14ac:dyDescent="0.3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2:13" x14ac:dyDescent="0.3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2:13" x14ac:dyDescent="0.3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</row>
    <row r="37" spans="2:13" x14ac:dyDescent="0.3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</row>
    <row r="39" spans="2:13" x14ac:dyDescent="0.35">
      <c r="B39" s="25" t="s">
        <v>134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2:13" x14ac:dyDescent="0.35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</sheetData>
  <mergeCells count="28">
    <mergeCell ref="D31:G31"/>
    <mergeCell ref="B34:M37"/>
    <mergeCell ref="B39:M40"/>
    <mergeCell ref="B22:F25"/>
    <mergeCell ref="H21:M21"/>
    <mergeCell ref="H22:M25"/>
    <mergeCell ref="B27:M27"/>
    <mergeCell ref="B28:M29"/>
    <mergeCell ref="B30:M30"/>
    <mergeCell ref="B12:F12"/>
    <mergeCell ref="G12:I12"/>
    <mergeCell ref="B14:I15"/>
    <mergeCell ref="B17:M17"/>
    <mergeCell ref="B18:M19"/>
    <mergeCell ref="B21:F21"/>
    <mergeCell ref="B9:F9"/>
    <mergeCell ref="G9:I9"/>
    <mergeCell ref="B10:F10"/>
    <mergeCell ref="G10:I10"/>
    <mergeCell ref="B11:F11"/>
    <mergeCell ref="G11:I11"/>
    <mergeCell ref="B4:M4"/>
    <mergeCell ref="B6:F6"/>
    <mergeCell ref="G6:I6"/>
    <mergeCell ref="B7:F7"/>
    <mergeCell ref="G7:I7"/>
    <mergeCell ref="B8:F8"/>
    <mergeCell ref="G8:I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E2EE-2DF0-4CAF-9D62-26E10C586706}">
  <dimension ref="A1:J1"/>
  <sheetViews>
    <sheetView showGridLines="0" workbookViewId="0"/>
  </sheetViews>
  <sheetFormatPr baseColWidth="10" defaultRowHeight="15" x14ac:dyDescent="0.35"/>
  <cols>
    <col min="1" max="16384" width="11.5546875" style="1"/>
  </cols>
  <sheetData>
    <row r="1" spans="1:10" x14ac:dyDescent="0.35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143</v>
      </c>
      <c r="J1" s="2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9515-2B86-43FC-9512-8588FF2211A8}">
  <dimension ref="A1:AA33"/>
  <sheetViews>
    <sheetView showGridLines="0" workbookViewId="0"/>
  </sheetViews>
  <sheetFormatPr baseColWidth="10" defaultRowHeight="15" x14ac:dyDescent="0.35"/>
  <cols>
    <col min="1" max="16384" width="11.5546875" style="1"/>
  </cols>
  <sheetData>
    <row r="1" spans="1:2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0</v>
      </c>
      <c r="H1" s="2" t="s">
        <v>19</v>
      </c>
      <c r="I1" s="2" t="s">
        <v>20</v>
      </c>
      <c r="J1" s="2" t="s">
        <v>21</v>
      </c>
      <c r="L1" s="2" t="s">
        <v>19</v>
      </c>
      <c r="M1" s="2" t="s">
        <v>52</v>
      </c>
      <c r="O1" s="2" t="s">
        <v>58</v>
      </c>
      <c r="P1" s="2" t="s">
        <v>59</v>
      </c>
      <c r="Q1" s="2" t="s">
        <v>60</v>
      </c>
      <c r="R1" s="2" t="s">
        <v>61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  <c r="Y1" s="2" t="s">
        <v>68</v>
      </c>
      <c r="Z1" s="2" t="s">
        <v>69</v>
      </c>
      <c r="AA1" s="2" t="s">
        <v>70</v>
      </c>
    </row>
    <row r="2" spans="1:27" x14ac:dyDescent="0.35">
      <c r="A2" s="1">
        <v>1</v>
      </c>
      <c r="B2" s="1">
        <v>1</v>
      </c>
      <c r="C2" s="1" t="s">
        <v>5</v>
      </c>
      <c r="D2" s="1" t="s">
        <v>6</v>
      </c>
      <c r="G2" s="1">
        <v>1</v>
      </c>
      <c r="H2" s="1">
        <v>1</v>
      </c>
      <c r="I2" s="1" t="s">
        <v>22</v>
      </c>
      <c r="J2" s="1">
        <v>4</v>
      </c>
      <c r="L2" s="1">
        <v>1</v>
      </c>
      <c r="M2" s="1" t="s">
        <v>53</v>
      </c>
      <c r="O2" s="1" t="s">
        <v>71</v>
      </c>
      <c r="P2" s="1">
        <v>0</v>
      </c>
      <c r="Q2" s="1">
        <v>7</v>
      </c>
      <c r="R2" s="1" t="s">
        <v>72</v>
      </c>
      <c r="S2" s="1" t="s">
        <v>73</v>
      </c>
      <c r="T2" s="1" t="s">
        <v>74</v>
      </c>
      <c r="U2" s="1" t="s">
        <v>75</v>
      </c>
      <c r="V2" s="1" t="s">
        <v>76</v>
      </c>
      <c r="W2" s="1" t="s">
        <v>77</v>
      </c>
      <c r="X2" s="1" t="s">
        <v>78</v>
      </c>
      <c r="Y2" s="1" t="s">
        <v>79</v>
      </c>
      <c r="Z2" s="1" t="s">
        <v>80</v>
      </c>
      <c r="AA2" s="1" t="s">
        <v>81</v>
      </c>
    </row>
    <row r="3" spans="1:27" x14ac:dyDescent="0.35">
      <c r="A3" s="1">
        <v>2</v>
      </c>
      <c r="B3" s="1">
        <v>1</v>
      </c>
      <c r="C3" s="1" t="s">
        <v>5</v>
      </c>
      <c r="D3" s="1" t="s">
        <v>7</v>
      </c>
      <c r="G3" s="1">
        <v>1</v>
      </c>
      <c r="H3" s="1">
        <v>2</v>
      </c>
      <c r="I3" s="1" t="s">
        <v>23</v>
      </c>
      <c r="J3" s="1">
        <v>3</v>
      </c>
      <c r="L3" s="1">
        <v>2</v>
      </c>
      <c r="M3" s="1" t="s">
        <v>54</v>
      </c>
      <c r="O3" s="1" t="s">
        <v>82</v>
      </c>
      <c r="P3" s="1">
        <v>8</v>
      </c>
      <c r="Q3" s="1">
        <v>15</v>
      </c>
      <c r="R3" s="1" t="s">
        <v>83</v>
      </c>
      <c r="S3" s="1" t="s">
        <v>84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</row>
    <row r="4" spans="1:27" x14ac:dyDescent="0.35">
      <c r="A4" s="1">
        <v>3</v>
      </c>
      <c r="B4" s="1">
        <v>1</v>
      </c>
      <c r="C4" s="1" t="s">
        <v>5</v>
      </c>
      <c r="D4" s="1" t="s">
        <v>8</v>
      </c>
      <c r="G4" s="1">
        <v>1</v>
      </c>
      <c r="H4" s="1">
        <v>3</v>
      </c>
      <c r="I4" s="1" t="s">
        <v>24</v>
      </c>
      <c r="J4" s="1">
        <v>2</v>
      </c>
      <c r="L4" s="1">
        <v>3</v>
      </c>
      <c r="M4" s="1" t="s">
        <v>55</v>
      </c>
      <c r="O4" s="1" t="s">
        <v>93</v>
      </c>
      <c r="P4" s="1">
        <v>16</v>
      </c>
      <c r="Q4" s="1">
        <v>23</v>
      </c>
      <c r="R4" s="1" t="s">
        <v>94</v>
      </c>
      <c r="S4" s="1" t="s">
        <v>95</v>
      </c>
      <c r="T4" s="1" t="s">
        <v>96</v>
      </c>
      <c r="U4" s="1" t="s">
        <v>97</v>
      </c>
      <c r="V4" s="1" t="s">
        <v>98</v>
      </c>
      <c r="W4" s="1" t="s">
        <v>99</v>
      </c>
      <c r="X4" s="1" t="s">
        <v>100</v>
      </c>
      <c r="Y4" s="1" t="s">
        <v>101</v>
      </c>
      <c r="Z4" s="1" t="s">
        <v>102</v>
      </c>
      <c r="AA4" s="1" t="s">
        <v>103</v>
      </c>
    </row>
    <row r="5" spans="1:27" x14ac:dyDescent="0.35">
      <c r="A5" s="1">
        <v>4</v>
      </c>
      <c r="B5" s="1">
        <v>2</v>
      </c>
      <c r="C5" s="1" t="s">
        <v>9</v>
      </c>
      <c r="D5" s="1" t="s">
        <v>10</v>
      </c>
      <c r="E5" s="1" t="s">
        <v>11</v>
      </c>
      <c r="G5" s="1">
        <v>1</v>
      </c>
      <c r="H5" s="1">
        <v>4</v>
      </c>
      <c r="I5" s="1" t="s">
        <v>25</v>
      </c>
      <c r="J5" s="1">
        <v>0</v>
      </c>
      <c r="L5" s="1">
        <v>4</v>
      </c>
      <c r="M5" s="1" t="s">
        <v>56</v>
      </c>
      <c r="O5" s="1" t="s">
        <v>104</v>
      </c>
      <c r="P5" s="1">
        <v>24</v>
      </c>
      <c r="Q5" s="1">
        <v>30</v>
      </c>
      <c r="R5" s="1" t="s">
        <v>105</v>
      </c>
      <c r="S5" s="1" t="s">
        <v>106</v>
      </c>
      <c r="T5" s="1" t="s">
        <v>107</v>
      </c>
      <c r="U5" s="1" t="s">
        <v>108</v>
      </c>
      <c r="V5" s="1" t="s">
        <v>109</v>
      </c>
      <c r="W5" s="1" t="s">
        <v>110</v>
      </c>
      <c r="X5" s="1" t="s">
        <v>111</v>
      </c>
      <c r="Y5" s="1" t="s">
        <v>112</v>
      </c>
      <c r="Z5" s="1" t="s">
        <v>113</v>
      </c>
      <c r="AA5" s="1" t="s">
        <v>114</v>
      </c>
    </row>
    <row r="6" spans="1:27" x14ac:dyDescent="0.35">
      <c r="A6" s="1">
        <v>5</v>
      </c>
      <c r="B6" s="1">
        <v>2</v>
      </c>
      <c r="C6" s="1" t="s">
        <v>9</v>
      </c>
      <c r="D6" s="1" t="s">
        <v>12</v>
      </c>
      <c r="E6" s="1" t="s">
        <v>11</v>
      </c>
      <c r="G6" s="1">
        <v>2</v>
      </c>
      <c r="H6" s="1">
        <v>1</v>
      </c>
      <c r="I6" s="1" t="s">
        <v>26</v>
      </c>
      <c r="J6" s="1">
        <v>4</v>
      </c>
      <c r="L6" s="1">
        <v>5</v>
      </c>
      <c r="M6" s="1" t="s">
        <v>57</v>
      </c>
    </row>
    <row r="7" spans="1:27" x14ac:dyDescent="0.35">
      <c r="A7" s="1">
        <v>6</v>
      </c>
      <c r="B7" s="1">
        <v>2</v>
      </c>
      <c r="C7" s="1" t="s">
        <v>5</v>
      </c>
      <c r="D7" s="1" t="s">
        <v>13</v>
      </c>
      <c r="G7" s="1">
        <v>2</v>
      </c>
      <c r="H7" s="1">
        <v>2</v>
      </c>
      <c r="I7" s="1" t="s">
        <v>27</v>
      </c>
      <c r="J7" s="1">
        <v>3</v>
      </c>
    </row>
    <row r="8" spans="1:27" x14ac:dyDescent="0.35">
      <c r="A8" s="1">
        <v>7</v>
      </c>
      <c r="B8" s="1">
        <v>3</v>
      </c>
      <c r="C8" s="1" t="s">
        <v>14</v>
      </c>
      <c r="D8" s="1" t="s">
        <v>15</v>
      </c>
      <c r="E8" s="1" t="s">
        <v>16</v>
      </c>
      <c r="G8" s="1">
        <v>2</v>
      </c>
      <c r="H8" s="1">
        <v>3</v>
      </c>
      <c r="I8" s="1" t="s">
        <v>28</v>
      </c>
      <c r="J8" s="1">
        <v>1</v>
      </c>
    </row>
    <row r="9" spans="1:27" x14ac:dyDescent="0.35">
      <c r="A9" s="1">
        <v>8</v>
      </c>
      <c r="B9" s="1">
        <v>4</v>
      </c>
      <c r="C9" s="1" t="s">
        <v>5</v>
      </c>
      <c r="D9" s="1" t="s">
        <v>17</v>
      </c>
      <c r="G9" s="1">
        <v>2</v>
      </c>
      <c r="H9" s="1">
        <v>4</v>
      </c>
      <c r="I9" s="1" t="s">
        <v>29</v>
      </c>
      <c r="J9" s="1">
        <v>0</v>
      </c>
    </row>
    <row r="10" spans="1:27" x14ac:dyDescent="0.35">
      <c r="A10" s="1">
        <v>9</v>
      </c>
      <c r="B10" s="1">
        <v>4</v>
      </c>
      <c r="C10" s="1" t="s">
        <v>5</v>
      </c>
      <c r="D10" s="1" t="s">
        <v>18</v>
      </c>
      <c r="G10" s="1">
        <v>3</v>
      </c>
      <c r="H10" s="1">
        <v>1</v>
      </c>
      <c r="I10" s="1" t="s">
        <v>30</v>
      </c>
      <c r="J10" s="1">
        <v>4</v>
      </c>
    </row>
    <row r="11" spans="1:27" x14ac:dyDescent="0.35">
      <c r="G11" s="1">
        <v>3</v>
      </c>
      <c r="H11" s="1">
        <v>2</v>
      </c>
      <c r="I11" s="1" t="s">
        <v>31</v>
      </c>
      <c r="J11" s="1">
        <v>3</v>
      </c>
    </row>
    <row r="12" spans="1:27" x14ac:dyDescent="0.35">
      <c r="G12" s="1">
        <v>3</v>
      </c>
      <c r="H12" s="1">
        <v>3</v>
      </c>
      <c r="I12" s="1" t="s">
        <v>32</v>
      </c>
      <c r="J12" s="1">
        <v>2</v>
      </c>
    </row>
    <row r="13" spans="1:27" x14ac:dyDescent="0.35">
      <c r="G13" s="1">
        <v>3</v>
      </c>
      <c r="H13" s="1">
        <v>4</v>
      </c>
      <c r="I13" s="1" t="s">
        <v>33</v>
      </c>
      <c r="J13" s="1">
        <v>0</v>
      </c>
    </row>
    <row r="14" spans="1:27" x14ac:dyDescent="0.35">
      <c r="G14" s="1">
        <v>4</v>
      </c>
      <c r="H14" s="1">
        <v>1</v>
      </c>
      <c r="I14" s="1" t="s">
        <v>34</v>
      </c>
      <c r="J14" s="1">
        <v>-1</v>
      </c>
    </row>
    <row r="15" spans="1:27" x14ac:dyDescent="0.35">
      <c r="G15" s="1">
        <v>4</v>
      </c>
      <c r="H15" s="1">
        <v>2</v>
      </c>
      <c r="I15" s="1" t="s">
        <v>35</v>
      </c>
      <c r="J15" s="1">
        <v>-1</v>
      </c>
    </row>
    <row r="16" spans="1:27" x14ac:dyDescent="0.35">
      <c r="G16" s="1">
        <v>4</v>
      </c>
      <c r="H16" s="1">
        <v>3</v>
      </c>
      <c r="I16" s="1" t="s">
        <v>36</v>
      </c>
      <c r="J16" s="1">
        <v>-1</v>
      </c>
    </row>
    <row r="17" spans="7:10" x14ac:dyDescent="0.35">
      <c r="G17" s="1">
        <v>4</v>
      </c>
      <c r="H17" s="1">
        <v>4</v>
      </c>
      <c r="I17" s="1" t="s">
        <v>37</v>
      </c>
      <c r="J17" s="1">
        <v>-1</v>
      </c>
    </row>
    <row r="18" spans="7:10" x14ac:dyDescent="0.35">
      <c r="G18" s="1">
        <v>4</v>
      </c>
      <c r="H18" s="1">
        <v>5</v>
      </c>
      <c r="I18" s="1" t="s">
        <v>38</v>
      </c>
      <c r="J18" s="1">
        <v>-1</v>
      </c>
    </row>
    <row r="19" spans="7:10" x14ac:dyDescent="0.35">
      <c r="G19" s="1">
        <v>5</v>
      </c>
      <c r="H19" s="1">
        <v>1</v>
      </c>
      <c r="I19" s="1" t="s">
        <v>39</v>
      </c>
      <c r="J19" s="1">
        <v>1</v>
      </c>
    </row>
    <row r="20" spans="7:10" x14ac:dyDescent="0.35">
      <c r="G20" s="1">
        <v>5</v>
      </c>
      <c r="H20" s="1">
        <v>2</v>
      </c>
      <c r="I20" s="1" t="s">
        <v>40</v>
      </c>
      <c r="J20" s="1">
        <v>1</v>
      </c>
    </row>
    <row r="21" spans="7:10" x14ac:dyDescent="0.35">
      <c r="G21" s="1">
        <v>5</v>
      </c>
      <c r="H21" s="1">
        <v>3</v>
      </c>
      <c r="I21" s="1" t="s">
        <v>41</v>
      </c>
      <c r="J21" s="1">
        <v>1</v>
      </c>
    </row>
    <row r="22" spans="7:10" x14ac:dyDescent="0.35">
      <c r="G22" s="1">
        <v>5</v>
      </c>
      <c r="H22" s="1">
        <v>4</v>
      </c>
      <c r="I22" s="1" t="s">
        <v>42</v>
      </c>
      <c r="J22" s="1">
        <v>1</v>
      </c>
    </row>
    <row r="23" spans="7:10" x14ac:dyDescent="0.35">
      <c r="G23" s="1">
        <v>5</v>
      </c>
      <c r="H23" s="1">
        <v>5</v>
      </c>
      <c r="I23" s="1" t="s">
        <v>43</v>
      </c>
      <c r="J23" s="1">
        <v>1</v>
      </c>
    </row>
    <row r="24" spans="7:10" x14ac:dyDescent="0.35">
      <c r="G24" s="1">
        <v>6</v>
      </c>
      <c r="H24" s="1">
        <v>1</v>
      </c>
      <c r="I24" s="1" t="s">
        <v>44</v>
      </c>
      <c r="J24" s="1">
        <v>3</v>
      </c>
    </row>
    <row r="25" spans="7:10" x14ac:dyDescent="0.35">
      <c r="G25" s="1">
        <v>6</v>
      </c>
      <c r="H25" s="1">
        <v>2</v>
      </c>
      <c r="I25" s="1" t="s">
        <v>45</v>
      </c>
      <c r="J25" s="1">
        <v>2</v>
      </c>
    </row>
    <row r="26" spans="7:10" x14ac:dyDescent="0.35">
      <c r="G26" s="1">
        <v>6</v>
      </c>
      <c r="H26" s="1">
        <v>3</v>
      </c>
      <c r="I26" s="1" t="s">
        <v>46</v>
      </c>
      <c r="J26" s="1">
        <v>0</v>
      </c>
    </row>
    <row r="27" spans="7:10" x14ac:dyDescent="0.35">
      <c r="G27" s="1">
        <v>6</v>
      </c>
      <c r="H27" s="1">
        <v>4</v>
      </c>
      <c r="I27" s="1" t="s">
        <v>29</v>
      </c>
      <c r="J27" s="1">
        <v>1</v>
      </c>
    </row>
    <row r="28" spans="7:10" x14ac:dyDescent="0.35">
      <c r="G28" s="1">
        <v>8</v>
      </c>
      <c r="H28" s="1">
        <v>1</v>
      </c>
      <c r="I28" s="1" t="s">
        <v>47</v>
      </c>
      <c r="J28" s="1">
        <v>4</v>
      </c>
    </row>
    <row r="29" spans="7:10" x14ac:dyDescent="0.35">
      <c r="G29" s="1">
        <v>8</v>
      </c>
      <c r="H29" s="1">
        <v>2</v>
      </c>
      <c r="I29" s="1" t="s">
        <v>48</v>
      </c>
      <c r="J29" s="1">
        <v>3</v>
      </c>
    </row>
    <row r="30" spans="7:10" x14ac:dyDescent="0.35">
      <c r="G30" s="1">
        <v>8</v>
      </c>
      <c r="H30" s="1">
        <v>3</v>
      </c>
      <c r="I30" s="1" t="s">
        <v>49</v>
      </c>
      <c r="J30" s="1">
        <v>2</v>
      </c>
    </row>
    <row r="31" spans="7:10" x14ac:dyDescent="0.35">
      <c r="G31" s="1">
        <v>8</v>
      </c>
      <c r="H31" s="1">
        <v>4</v>
      </c>
      <c r="I31" s="1" t="s">
        <v>50</v>
      </c>
      <c r="J31" s="1">
        <v>0</v>
      </c>
    </row>
    <row r="32" spans="7:10" x14ac:dyDescent="0.35">
      <c r="G32" s="1">
        <v>9</v>
      </c>
      <c r="H32" s="1">
        <v>1</v>
      </c>
      <c r="I32" s="1" t="s">
        <v>51</v>
      </c>
      <c r="J32" s="1">
        <v>1</v>
      </c>
    </row>
    <row r="33" spans="7:10" x14ac:dyDescent="0.35">
      <c r="G33" s="1">
        <v>9</v>
      </c>
      <c r="H33" s="1">
        <v>2</v>
      </c>
      <c r="I33" s="1" t="s">
        <v>50</v>
      </c>
      <c r="J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40</vt:i4>
      </vt:variant>
    </vt:vector>
  </HeadingPairs>
  <TitlesOfParts>
    <vt:vector size="42" baseType="lpstr">
      <vt:lpstr>Profilage_Questionnaire</vt:lpstr>
      <vt:lpstr>Profilage_Resultats</vt:lpstr>
      <vt:lpstr>ProfilsHistorique_Header</vt:lpstr>
      <vt:lpstr>Q1_Answer</vt:lpstr>
      <vt:lpstr>Q2_Answer</vt:lpstr>
      <vt:lpstr>Q3_Answer</vt:lpstr>
      <vt:lpstr>Q4_Opts</vt:lpstr>
      <vt:lpstr>Q5_Opts</vt:lpstr>
      <vt:lpstr>Q6_Answer</vt:lpstr>
      <vt:lpstr>Q7_Scores</vt:lpstr>
      <vt:lpstr>Q8_Answer</vt:lpstr>
      <vt:lpstr>Q9_Answer</vt:lpstr>
      <vt:lpstr>Ref_Options</vt:lpstr>
      <vt:lpstr>Ref_Profiles</vt:lpstr>
      <vt:lpstr>Ref_Q1_OptionList</vt:lpstr>
      <vt:lpstr>Ref_Q2_OptionList</vt:lpstr>
      <vt:lpstr>Ref_Q3_OptionList</vt:lpstr>
      <vt:lpstr>Ref_Q6_OptionList</vt:lpstr>
      <vt:lpstr>Ref_Q7Subjects</vt:lpstr>
      <vt:lpstr>Ref_Q8_OptionList</vt:lpstr>
      <vt:lpstr>Ref_Q9_OptionList</vt:lpstr>
      <vt:lpstr>Ref_Questions</vt:lpstr>
      <vt:lpstr>Res_Arguments</vt:lpstr>
      <vt:lpstr>Res_Brut</vt:lpstr>
      <vt:lpstr>Res_ClientName</vt:lpstr>
      <vt:lpstr>Res_CoefBase</vt:lpstr>
      <vt:lpstr>Res_Coefficient</vt:lpstr>
      <vt:lpstr>Res_CoefRaw</vt:lpstr>
      <vt:lpstr>Res_FormuleFinale</vt:lpstr>
      <vt:lpstr>Res_Freins</vt:lpstr>
      <vt:lpstr>Res_Niveau</vt:lpstr>
      <vt:lpstr>Res_Notes</vt:lpstr>
      <vt:lpstr>Res_Part1</vt:lpstr>
      <vt:lpstr>Res_Part2</vt:lpstr>
      <vt:lpstr>Res_Part3</vt:lpstr>
      <vt:lpstr>Res_Part4</vt:lpstr>
      <vt:lpstr>Res_Positionnement</vt:lpstr>
      <vt:lpstr>Res_ProfilKey</vt:lpstr>
      <vt:lpstr>Res_ProfilTitre</vt:lpstr>
      <vt:lpstr>Res_ScoreFinal</vt:lpstr>
      <vt:lpstr>Res_Ton</vt:lpstr>
      <vt:lpstr>Profilage_Questionnaire!Zone_d_impression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SAROUKOU</dc:creator>
  <cp:lastModifiedBy>Mahmoud SAROUKOU</cp:lastModifiedBy>
  <dcterms:created xsi:type="dcterms:W3CDTF">2026-08-21T20:05:00Z</dcterms:created>
  <dcterms:modified xsi:type="dcterms:W3CDTF">2026-08-21T20:05:24Z</dcterms:modified>
</cp:coreProperties>
</file>