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CJEPE-BENIN\Documents\Dossier Client\ExpertComptable-ExcelVBA\dist\"/>
    </mc:Choice>
  </mc:AlternateContent>
  <xr:revisionPtr revIDLastSave="0" documentId="8_{2ED4B8DB-C1BD-49E6-8357-3D6D29BB4181}" xr6:coauthVersionLast="47" xr6:coauthVersionMax="47" xr10:uidLastSave="{00000000-0000-0000-0000-000000000000}"/>
  <bookViews>
    <workbookView xWindow="-108" yWindow="-108" windowWidth="23256" windowHeight="12456" xr2:uid="{6FBB7AAB-93B0-4AB5-809A-BA686E7E653C}"/>
  </bookViews>
  <sheets>
    <sheet name="Balance_Import" sheetId="1" r:id="rId1"/>
    <sheet name="Balance_Data" sheetId="2" r:id="rId2"/>
    <sheet name="Balance_Analyse" sheetId="3" r:id="rId3"/>
    <sheet name="Référentiel" sheetId="4" state="veryHidden" r:id="rId4"/>
  </sheets>
  <functionGroups builtInGroupCount="19"/>
  <definedNames>
    <definedName name="Bal_ClientEmail">Balance_Import!$D$9:$G$9</definedName>
    <definedName name="Bal_ClientName">Balance_Import!$D$7:$G$7</definedName>
    <definedName name="Bal_ImportStatus">Balance_Import!$B$22:$M$25</definedName>
    <definedName name="Bal_Year">Balance_Import!$D$11</definedName>
    <definedName name="BalanceData_FirstRow">Balance_Data!$B$10</definedName>
    <definedName name="BalData_Compte">Balance_Data!$B$10:$B$1009</definedName>
    <definedName name="BalData_Cycle">Balance_Data!$H$10:$H$1009</definedName>
    <definedName name="BalData_Lecture">Balance_Data!$I$10:$I$1009</definedName>
    <definedName name="BalData_Libelle">Balance_Data!$C$10:$C$1009</definedName>
    <definedName name="BalData_Suggestion">Balance_Data!$K$10:$K$1009</definedName>
    <definedName name="BalData_VarAbs">Balance_Data!$F$10:$F$1009</definedName>
    <definedName name="BalData_VarPct">Balance_Data!$G$10:$G$1009</definedName>
    <definedName name="Ref_AccountRules">Référentiel!$AN$2:$AR$12</definedName>
    <definedName name="Ref_CycleRules">Référentiel!$AT$2:$AV$18</definedName>
    <definedName name="Ref_CyclesItems">Référentiel!$AG$2:$AI$155</definedName>
    <definedName name="Ref_CyclesMeta">Référentiel!$AC$2:$AE$10</definedName>
    <definedName name="Ref_DefaultCycle">Référentiel!$AX$1</definedName>
    <definedName name="Ref_GeneralFallback">Référentiel!$AK$2:$AL$17</definedName>
    <definedName name="_xlnm.Print_Area" localSheetId="2">Balance_Analyse!$A$1:$M$103</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 i="2" l="1"/>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J737" i="2" s="1"/>
  <c r="L738" i="2"/>
  <c r="J738" i="2" s="1"/>
  <c r="L739" i="2"/>
  <c r="J739" i="2" s="1"/>
  <c r="L740" i="2"/>
  <c r="J740" i="2" s="1"/>
  <c r="L741" i="2"/>
  <c r="J741" i="2" s="1"/>
  <c r="L742" i="2"/>
  <c r="J742" i="2" s="1"/>
  <c r="L743" i="2"/>
  <c r="J743" i="2" s="1"/>
  <c r="L744" i="2"/>
  <c r="J744" i="2" s="1"/>
  <c r="L745" i="2"/>
  <c r="J745" i="2" s="1"/>
  <c r="L746" i="2"/>
  <c r="J746" i="2" s="1"/>
  <c r="L747" i="2"/>
  <c r="J747" i="2" s="1"/>
  <c r="L748" i="2"/>
  <c r="J748" i="2" s="1"/>
  <c r="L749" i="2"/>
  <c r="J749" i="2" s="1"/>
  <c r="L750" i="2"/>
  <c r="J750" i="2" s="1"/>
  <c r="L751" i="2"/>
  <c r="J751" i="2" s="1"/>
  <c r="L752" i="2"/>
  <c r="J752" i="2" s="1"/>
  <c r="L753" i="2"/>
  <c r="J753" i="2" s="1"/>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L10" i="2"/>
  <c r="H10" i="2"/>
  <c r="G10" i="2"/>
  <c r="F10" i="2"/>
  <c r="J11" i="2" l="1"/>
  <c r="I11" i="2"/>
  <c r="K11" i="2"/>
  <c r="J12" i="2"/>
  <c r="I12" i="2"/>
  <c r="K12" i="2"/>
  <c r="J13" i="2"/>
  <c r="K13" i="2"/>
  <c r="I13" i="2"/>
  <c r="K14" i="2"/>
  <c r="J14" i="2"/>
  <c r="I14" i="2"/>
  <c r="J15" i="2"/>
  <c r="I15" i="2"/>
  <c r="K15" i="2"/>
  <c r="J16" i="2"/>
  <c r="K16" i="2"/>
  <c r="I16" i="2"/>
  <c r="J17" i="2"/>
  <c r="I17" i="2"/>
  <c r="K17" i="2"/>
  <c r="K18" i="2"/>
  <c r="J18" i="2"/>
  <c r="I18" i="2"/>
  <c r="I19" i="2"/>
  <c r="J19" i="2"/>
  <c r="K19" i="2"/>
  <c r="I20" i="2"/>
  <c r="K20" i="2"/>
  <c r="J20" i="2"/>
  <c r="I21" i="2"/>
  <c r="K21" i="2"/>
  <c r="J21" i="2"/>
  <c r="K22" i="2"/>
  <c r="I22" i="2"/>
  <c r="J22" i="2"/>
  <c r="J23" i="2"/>
  <c r="K23" i="2"/>
  <c r="I23" i="2"/>
  <c r="I24" i="2"/>
  <c r="K24" i="2"/>
  <c r="J24" i="2"/>
  <c r="I25" i="2"/>
  <c r="K25" i="2"/>
  <c r="J25" i="2"/>
  <c r="I26" i="2"/>
  <c r="K26" i="2"/>
  <c r="J26" i="2"/>
  <c r="I27" i="2"/>
  <c r="K27" i="2"/>
  <c r="J27" i="2"/>
  <c r="I28" i="2"/>
  <c r="K28" i="2"/>
  <c r="J28" i="2"/>
  <c r="I29" i="2"/>
  <c r="J29" i="2"/>
  <c r="K29" i="2"/>
  <c r="J30" i="2"/>
  <c r="I30" i="2"/>
  <c r="K30" i="2"/>
  <c r="I31" i="2"/>
  <c r="K31" i="2"/>
  <c r="J31" i="2"/>
  <c r="J32" i="2"/>
  <c r="I32" i="2"/>
  <c r="K32" i="2"/>
  <c r="I33" i="2"/>
  <c r="J33" i="2"/>
  <c r="K33" i="2"/>
  <c r="I34" i="2"/>
  <c r="K34" i="2"/>
  <c r="J34" i="2"/>
  <c r="K35" i="2"/>
  <c r="I35" i="2"/>
  <c r="J35" i="2"/>
  <c r="K36" i="2"/>
  <c r="I36" i="2"/>
  <c r="J36" i="2"/>
  <c r="I37" i="2"/>
  <c r="K37" i="2"/>
  <c r="J37" i="2"/>
  <c r="I38" i="2"/>
  <c r="K38" i="2"/>
  <c r="J38" i="2"/>
  <c r="I39" i="2"/>
  <c r="K39" i="2"/>
  <c r="J39" i="2"/>
  <c r="I40" i="2"/>
  <c r="K40" i="2"/>
  <c r="J40" i="2"/>
  <c r="I41" i="2"/>
  <c r="K41" i="2"/>
  <c r="J41" i="2"/>
  <c r="I42" i="2"/>
  <c r="K42" i="2"/>
  <c r="J42" i="2"/>
  <c r="I43" i="2"/>
  <c r="K43" i="2"/>
  <c r="J43" i="2"/>
  <c r="I44" i="2"/>
  <c r="K44" i="2"/>
  <c r="J44" i="2"/>
  <c r="I45" i="2"/>
  <c r="K45" i="2"/>
  <c r="J45" i="2"/>
  <c r="I46" i="2"/>
  <c r="K46" i="2"/>
  <c r="J46" i="2"/>
  <c r="K47" i="2"/>
  <c r="J47" i="2"/>
  <c r="I47" i="2"/>
  <c r="J48" i="2"/>
  <c r="I48" i="2"/>
  <c r="K48" i="2"/>
  <c r="J49" i="2"/>
  <c r="I49" i="2"/>
  <c r="K49" i="2"/>
  <c r="I50" i="2"/>
  <c r="J50" i="2"/>
  <c r="K50" i="2"/>
  <c r="I51" i="2"/>
  <c r="J51" i="2"/>
  <c r="K51" i="2"/>
  <c r="I52" i="2"/>
  <c r="J52" i="2"/>
  <c r="K52" i="2"/>
  <c r="I53" i="2"/>
  <c r="J53" i="2"/>
  <c r="K53" i="2"/>
  <c r="K54" i="2"/>
  <c r="I54" i="2"/>
  <c r="J54" i="2"/>
  <c r="K55" i="2"/>
  <c r="J55" i="2"/>
  <c r="I55" i="2"/>
  <c r="K56" i="2"/>
  <c r="I56" i="2"/>
  <c r="J56" i="2"/>
  <c r="K57" i="2"/>
  <c r="J57" i="2"/>
  <c r="I57" i="2"/>
  <c r="K58" i="2"/>
  <c r="J58" i="2"/>
  <c r="I58" i="2"/>
  <c r="K59" i="2"/>
  <c r="J59" i="2"/>
  <c r="I59" i="2"/>
  <c r="K60" i="2"/>
  <c r="J60" i="2"/>
  <c r="I60" i="2"/>
  <c r="J61" i="2"/>
  <c r="K61" i="2"/>
  <c r="I61" i="2"/>
  <c r="J62" i="2"/>
  <c r="K62" i="2"/>
  <c r="I62" i="2"/>
  <c r="J63" i="2"/>
  <c r="K63" i="2"/>
  <c r="I63" i="2"/>
  <c r="J64" i="2"/>
  <c r="K64" i="2"/>
  <c r="I64" i="2"/>
  <c r="K65" i="2"/>
  <c r="J65" i="2"/>
  <c r="I65" i="2"/>
  <c r="J66" i="2"/>
  <c r="K66" i="2"/>
  <c r="I66" i="2"/>
  <c r="J67" i="2"/>
  <c r="I67" i="2"/>
  <c r="K67" i="2"/>
  <c r="K68" i="2"/>
  <c r="J68" i="2"/>
  <c r="I68" i="2"/>
  <c r="K69" i="2"/>
  <c r="J69" i="2"/>
  <c r="I69" i="2"/>
  <c r="J70" i="2"/>
  <c r="K70" i="2"/>
  <c r="I70" i="2"/>
  <c r="K71" i="2"/>
  <c r="I71" i="2"/>
  <c r="J71" i="2"/>
  <c r="I72" i="2"/>
  <c r="K72" i="2"/>
  <c r="J72" i="2"/>
  <c r="I73" i="2"/>
  <c r="J73" i="2"/>
  <c r="K73" i="2"/>
  <c r="I74" i="2"/>
  <c r="J74" i="2"/>
  <c r="K74" i="2"/>
  <c r="I75" i="2"/>
  <c r="J75" i="2"/>
  <c r="K75" i="2"/>
  <c r="K76" i="2"/>
  <c r="I76" i="2"/>
  <c r="J76" i="2"/>
  <c r="K77" i="2"/>
  <c r="I77" i="2"/>
  <c r="J77" i="2"/>
  <c r="K78" i="2"/>
  <c r="I78" i="2"/>
  <c r="J78" i="2"/>
  <c r="K79" i="2"/>
  <c r="I79" i="2"/>
  <c r="J79" i="2"/>
  <c r="I80" i="2"/>
  <c r="J80" i="2"/>
  <c r="K80" i="2"/>
  <c r="I81" i="2"/>
  <c r="K81" i="2"/>
  <c r="J81" i="2"/>
  <c r="I82" i="2"/>
  <c r="K82" i="2"/>
  <c r="J82" i="2"/>
  <c r="I83" i="2"/>
  <c r="K83" i="2"/>
  <c r="J83" i="2"/>
  <c r="I84" i="2"/>
  <c r="K84" i="2"/>
  <c r="J84" i="2"/>
  <c r="I85" i="2"/>
  <c r="K85" i="2"/>
  <c r="J85" i="2"/>
  <c r="I86" i="2"/>
  <c r="K86" i="2"/>
  <c r="J86" i="2"/>
  <c r="I87" i="2"/>
  <c r="J87" i="2"/>
  <c r="K87" i="2"/>
  <c r="I88" i="2"/>
  <c r="J88" i="2"/>
  <c r="K88" i="2"/>
  <c r="I89" i="2"/>
  <c r="J89" i="2"/>
  <c r="K89" i="2"/>
  <c r="I90" i="2"/>
  <c r="K90" i="2"/>
  <c r="J90" i="2"/>
  <c r="I91" i="2"/>
  <c r="J91" i="2"/>
  <c r="K91" i="2"/>
  <c r="I92" i="2"/>
  <c r="J92" i="2"/>
  <c r="K92" i="2"/>
  <c r="J93" i="2"/>
  <c r="K93" i="2"/>
  <c r="I93" i="2"/>
  <c r="I94" i="2"/>
  <c r="K94" i="2"/>
  <c r="J94" i="2"/>
  <c r="K95" i="2"/>
  <c r="J95" i="2"/>
  <c r="I95" i="2"/>
  <c r="K96" i="2"/>
  <c r="J96" i="2"/>
  <c r="I96" i="2"/>
  <c r="K97" i="2"/>
  <c r="J97" i="2"/>
  <c r="I97" i="2"/>
  <c r="J98" i="2"/>
  <c r="K98" i="2"/>
  <c r="I98" i="2"/>
  <c r="J99" i="2"/>
  <c r="K99" i="2"/>
  <c r="I99" i="2"/>
  <c r="K100" i="2"/>
  <c r="I100" i="2"/>
  <c r="J100" i="2"/>
  <c r="I101" i="2"/>
  <c r="J101" i="2"/>
  <c r="K101" i="2"/>
  <c r="I102" i="2"/>
  <c r="K102" i="2"/>
  <c r="J102" i="2"/>
  <c r="I103" i="2"/>
  <c r="K103" i="2"/>
  <c r="J103" i="2"/>
  <c r="K104" i="2"/>
  <c r="I104" i="2"/>
  <c r="J104" i="2"/>
  <c r="I105" i="2"/>
  <c r="K105" i="2"/>
  <c r="J105" i="2"/>
  <c r="K106" i="2"/>
  <c r="I106" i="2"/>
  <c r="J106" i="2"/>
  <c r="J107" i="2"/>
  <c r="I107" i="2"/>
  <c r="K107" i="2"/>
  <c r="K108" i="2"/>
  <c r="J108" i="2"/>
  <c r="I108" i="2"/>
  <c r="K109" i="2"/>
  <c r="J109" i="2"/>
  <c r="I109" i="2"/>
  <c r="K110" i="2"/>
  <c r="J110" i="2"/>
  <c r="I110" i="2"/>
  <c r="I111" i="2"/>
  <c r="K111" i="2"/>
  <c r="J111" i="2"/>
  <c r="J112" i="2"/>
  <c r="I112" i="2"/>
  <c r="K112" i="2"/>
  <c r="K113" i="2"/>
  <c r="I113" i="2"/>
  <c r="J113" i="2"/>
  <c r="J114" i="2"/>
  <c r="I114" i="2"/>
  <c r="K114" i="2"/>
  <c r="J115" i="2"/>
  <c r="K115" i="2"/>
  <c r="I115" i="2"/>
  <c r="J116" i="2"/>
  <c r="K116" i="2"/>
  <c r="I116" i="2"/>
  <c r="J117" i="2"/>
  <c r="K117" i="2"/>
  <c r="I117" i="2"/>
  <c r="J118" i="2"/>
  <c r="I118" i="2"/>
  <c r="K118" i="2"/>
  <c r="K119" i="2"/>
  <c r="I119" i="2"/>
  <c r="J119" i="2"/>
  <c r="I120" i="2"/>
  <c r="K120" i="2"/>
  <c r="J120" i="2"/>
  <c r="I121" i="2"/>
  <c r="K121" i="2"/>
  <c r="J121" i="2"/>
  <c r="I122" i="2"/>
  <c r="K122" i="2"/>
  <c r="J122" i="2"/>
  <c r="I123" i="2"/>
  <c r="K123" i="2"/>
  <c r="J123" i="2"/>
  <c r="I124" i="2"/>
  <c r="K124" i="2"/>
  <c r="J124" i="2"/>
  <c r="J125" i="2"/>
  <c r="I125" i="2"/>
  <c r="K125" i="2"/>
  <c r="J126" i="2"/>
  <c r="K126" i="2"/>
  <c r="I126" i="2"/>
  <c r="J127" i="2"/>
  <c r="I127" i="2"/>
  <c r="K127" i="2"/>
  <c r="J128" i="2"/>
  <c r="K128" i="2"/>
  <c r="I128" i="2"/>
  <c r="I129" i="2"/>
  <c r="J129" i="2"/>
  <c r="K129" i="2"/>
  <c r="K130" i="2"/>
  <c r="I130" i="2"/>
  <c r="J130" i="2"/>
  <c r="K131" i="2"/>
  <c r="I131" i="2"/>
  <c r="J131" i="2"/>
  <c r="K132" i="2"/>
  <c r="I132" i="2"/>
  <c r="J132" i="2"/>
  <c r="I133" i="2"/>
  <c r="K133" i="2"/>
  <c r="J133" i="2"/>
  <c r="K134" i="2"/>
  <c r="I134" i="2"/>
  <c r="J134" i="2"/>
  <c r="K135" i="2"/>
  <c r="I135" i="2"/>
  <c r="J135" i="2"/>
  <c r="K136" i="2"/>
  <c r="J136" i="2"/>
  <c r="I136" i="2"/>
  <c r="J137" i="2"/>
  <c r="K137" i="2"/>
  <c r="I137" i="2"/>
  <c r="K138" i="2"/>
  <c r="J138" i="2"/>
  <c r="I138" i="2"/>
  <c r="K139" i="2"/>
  <c r="I139" i="2"/>
  <c r="J139" i="2"/>
  <c r="J140" i="2"/>
  <c r="K140" i="2"/>
  <c r="I140" i="2"/>
  <c r="J141" i="2"/>
  <c r="I141" i="2"/>
  <c r="K141" i="2"/>
  <c r="J142" i="2"/>
  <c r="I142" i="2"/>
  <c r="K142" i="2"/>
  <c r="J143" i="2"/>
  <c r="I143" i="2"/>
  <c r="K143" i="2"/>
  <c r="J144" i="2"/>
  <c r="I144" i="2"/>
  <c r="K144" i="2"/>
  <c r="J145" i="2"/>
  <c r="I145" i="2"/>
  <c r="K145" i="2"/>
  <c r="J146" i="2"/>
  <c r="I146" i="2"/>
  <c r="K146" i="2"/>
  <c r="J147" i="2"/>
  <c r="K147" i="2"/>
  <c r="I147" i="2"/>
  <c r="I148" i="2"/>
  <c r="K148" i="2"/>
  <c r="J148" i="2"/>
  <c r="J149" i="2"/>
  <c r="I149" i="2"/>
  <c r="K149" i="2"/>
  <c r="K150" i="2"/>
  <c r="I150" i="2"/>
  <c r="J150" i="2"/>
  <c r="K151" i="2"/>
  <c r="I151" i="2"/>
  <c r="J151" i="2"/>
  <c r="K152" i="2"/>
  <c r="I152" i="2"/>
  <c r="J152" i="2"/>
  <c r="J153" i="2"/>
  <c r="K153" i="2"/>
  <c r="I153" i="2"/>
  <c r="K154" i="2"/>
  <c r="I154" i="2"/>
  <c r="J154" i="2"/>
  <c r="I155" i="2"/>
  <c r="K155" i="2"/>
  <c r="J155" i="2"/>
  <c r="I156" i="2"/>
  <c r="K156" i="2"/>
  <c r="J156" i="2"/>
  <c r="I157" i="2"/>
  <c r="J157" i="2"/>
  <c r="K157" i="2"/>
  <c r="I158" i="2"/>
  <c r="J158" i="2"/>
  <c r="K158" i="2"/>
  <c r="J159" i="2"/>
  <c r="K159" i="2"/>
  <c r="I159" i="2"/>
  <c r="I160" i="2"/>
  <c r="J160" i="2"/>
  <c r="K160" i="2"/>
  <c r="I161" i="2"/>
  <c r="J161" i="2"/>
  <c r="K161" i="2"/>
  <c r="J162" i="2"/>
  <c r="K162" i="2"/>
  <c r="I162" i="2"/>
  <c r="K163" i="2"/>
  <c r="I163" i="2"/>
  <c r="J163" i="2"/>
  <c r="K164" i="2"/>
  <c r="I164" i="2"/>
  <c r="J164" i="2"/>
  <c r="I165" i="2"/>
  <c r="K165" i="2"/>
  <c r="J165" i="2"/>
  <c r="K166" i="2"/>
  <c r="I166" i="2"/>
  <c r="J166" i="2"/>
  <c r="J167" i="2"/>
  <c r="K167" i="2"/>
  <c r="I167" i="2"/>
  <c r="J168" i="2"/>
  <c r="K168" i="2"/>
  <c r="I168" i="2"/>
  <c r="K169" i="2"/>
  <c r="J169" i="2"/>
  <c r="I169" i="2"/>
  <c r="J170" i="2"/>
  <c r="K170" i="2"/>
  <c r="I170" i="2"/>
  <c r="J171" i="2"/>
  <c r="K171" i="2"/>
  <c r="I171" i="2"/>
  <c r="J172" i="2"/>
  <c r="K172" i="2"/>
  <c r="I172" i="2"/>
  <c r="K173" i="2"/>
  <c r="J173" i="2"/>
  <c r="I173" i="2"/>
  <c r="J174" i="2"/>
  <c r="K174" i="2"/>
  <c r="I174" i="2"/>
  <c r="J175" i="2"/>
  <c r="K175" i="2"/>
  <c r="I175" i="2"/>
  <c r="I176" i="2"/>
  <c r="J176" i="2"/>
  <c r="K176" i="2"/>
  <c r="J177" i="2"/>
  <c r="I177" i="2"/>
  <c r="K177" i="2"/>
  <c r="K178" i="2"/>
  <c r="I178" i="2"/>
  <c r="J178" i="2"/>
  <c r="I179" i="2"/>
  <c r="J179" i="2"/>
  <c r="K179" i="2"/>
  <c r="J180" i="2"/>
  <c r="I180" i="2"/>
  <c r="K180" i="2"/>
  <c r="I181" i="2"/>
  <c r="J181" i="2"/>
  <c r="K181" i="2"/>
  <c r="I182" i="2"/>
  <c r="J182" i="2"/>
  <c r="K182" i="2"/>
  <c r="I183" i="2"/>
  <c r="K183" i="2"/>
  <c r="J183" i="2"/>
  <c r="I184" i="2"/>
  <c r="K184" i="2"/>
  <c r="J184" i="2"/>
  <c r="K185" i="2"/>
  <c r="J185" i="2"/>
  <c r="I185" i="2"/>
  <c r="I186" i="2"/>
  <c r="K186" i="2"/>
  <c r="J186" i="2"/>
  <c r="J187" i="2"/>
  <c r="K187" i="2"/>
  <c r="I187" i="2"/>
  <c r="J188" i="2"/>
  <c r="K188" i="2"/>
  <c r="I188" i="2"/>
  <c r="J189" i="2"/>
  <c r="K189" i="2"/>
  <c r="I189" i="2"/>
  <c r="J190" i="2"/>
  <c r="K190" i="2"/>
  <c r="I190" i="2"/>
  <c r="J191" i="2"/>
  <c r="K191" i="2"/>
  <c r="I191" i="2"/>
  <c r="I192" i="2"/>
  <c r="J192" i="2"/>
  <c r="K192" i="2"/>
  <c r="J193" i="2"/>
  <c r="K193" i="2"/>
  <c r="I193" i="2"/>
  <c r="I194" i="2"/>
  <c r="J194" i="2"/>
  <c r="K194" i="2"/>
  <c r="K195" i="2"/>
  <c r="J195" i="2"/>
  <c r="I195" i="2"/>
  <c r="J196" i="2"/>
  <c r="I196" i="2"/>
  <c r="K196" i="2"/>
  <c r="I197" i="2"/>
  <c r="K197" i="2"/>
  <c r="J197" i="2"/>
  <c r="I198" i="2"/>
  <c r="J198" i="2"/>
  <c r="K198" i="2"/>
  <c r="J199" i="2"/>
  <c r="I199" i="2"/>
  <c r="K199" i="2"/>
  <c r="I200" i="2"/>
  <c r="J200" i="2"/>
  <c r="K200" i="2"/>
  <c r="I201" i="2"/>
  <c r="J201" i="2"/>
  <c r="K201" i="2"/>
  <c r="I202" i="2"/>
  <c r="J202" i="2"/>
  <c r="K202" i="2"/>
  <c r="K203" i="2"/>
  <c r="I203" i="2"/>
  <c r="J203" i="2"/>
  <c r="K204" i="2"/>
  <c r="I204" i="2"/>
  <c r="J204" i="2"/>
  <c r="K205" i="2"/>
  <c r="I205" i="2"/>
  <c r="J205" i="2"/>
  <c r="I206" i="2"/>
  <c r="K206" i="2"/>
  <c r="J206" i="2"/>
  <c r="K207" i="2"/>
  <c r="J207" i="2"/>
  <c r="I207" i="2"/>
  <c r="I208" i="2"/>
  <c r="K208" i="2"/>
  <c r="J208" i="2"/>
  <c r="J209" i="2"/>
  <c r="I209" i="2"/>
  <c r="K209" i="2"/>
  <c r="J210" i="2"/>
  <c r="I210" i="2"/>
  <c r="K210" i="2"/>
  <c r="K211" i="2"/>
  <c r="J211" i="2"/>
  <c r="I211" i="2"/>
  <c r="J212" i="2"/>
  <c r="K212" i="2"/>
  <c r="I212" i="2"/>
  <c r="J213" i="2"/>
  <c r="K213" i="2"/>
  <c r="I213" i="2"/>
  <c r="J214" i="2"/>
  <c r="K214" i="2"/>
  <c r="I214" i="2"/>
  <c r="K215" i="2"/>
  <c r="J215" i="2"/>
  <c r="I215" i="2"/>
  <c r="K216" i="2"/>
  <c r="J216" i="2"/>
  <c r="I216" i="2"/>
  <c r="I217" i="2"/>
  <c r="J217" i="2"/>
  <c r="K217" i="2"/>
  <c r="J218" i="2"/>
  <c r="I218" i="2"/>
  <c r="K218" i="2"/>
  <c r="J219" i="2"/>
  <c r="K219" i="2"/>
  <c r="I219" i="2"/>
  <c r="K220" i="2"/>
  <c r="J220" i="2"/>
  <c r="I220" i="2"/>
  <c r="I221" i="2"/>
  <c r="K221" i="2"/>
  <c r="J221" i="2"/>
  <c r="K222" i="2"/>
  <c r="J222" i="2"/>
  <c r="I222" i="2"/>
  <c r="K223" i="2"/>
  <c r="J223" i="2"/>
  <c r="I223" i="2"/>
  <c r="K224" i="2"/>
  <c r="J224" i="2"/>
  <c r="I224" i="2"/>
  <c r="K225" i="2"/>
  <c r="J225" i="2"/>
  <c r="I225" i="2"/>
  <c r="K226" i="2"/>
  <c r="J226" i="2"/>
  <c r="I226" i="2"/>
  <c r="K227" i="2"/>
  <c r="J227" i="2"/>
  <c r="I227" i="2"/>
  <c r="K228" i="2"/>
  <c r="I228" i="2"/>
  <c r="J228" i="2"/>
  <c r="J229" i="2"/>
  <c r="K229" i="2"/>
  <c r="I229" i="2"/>
  <c r="I230" i="2"/>
  <c r="J230" i="2"/>
  <c r="K230" i="2"/>
  <c r="K231" i="2"/>
  <c r="I231" i="2"/>
  <c r="J231" i="2"/>
  <c r="I232" i="2"/>
  <c r="J232" i="2"/>
  <c r="K232" i="2"/>
  <c r="I233" i="2"/>
  <c r="J233" i="2"/>
  <c r="K233" i="2"/>
  <c r="I234" i="2"/>
  <c r="J234" i="2"/>
  <c r="K234" i="2"/>
  <c r="I235" i="2"/>
  <c r="J235" i="2"/>
  <c r="K235" i="2"/>
  <c r="I236" i="2"/>
  <c r="J236" i="2"/>
  <c r="K236" i="2"/>
  <c r="I237" i="2"/>
  <c r="J237" i="2"/>
  <c r="K237" i="2"/>
  <c r="J238" i="2"/>
  <c r="I238" i="2"/>
  <c r="K238" i="2"/>
  <c r="I239" i="2"/>
  <c r="J239" i="2"/>
  <c r="K239" i="2"/>
  <c r="I240" i="2"/>
  <c r="K240" i="2"/>
  <c r="J240" i="2"/>
  <c r="I241" i="2"/>
  <c r="K241" i="2"/>
  <c r="J241" i="2"/>
  <c r="I242" i="2"/>
  <c r="K242" i="2"/>
  <c r="J242" i="2"/>
  <c r="I243" i="2"/>
  <c r="K243" i="2"/>
  <c r="J243" i="2"/>
  <c r="I244" i="2"/>
  <c r="K244" i="2"/>
  <c r="J244" i="2"/>
  <c r="J245" i="2"/>
  <c r="I245" i="2"/>
  <c r="K245" i="2"/>
  <c r="K246" i="2"/>
  <c r="I246" i="2"/>
  <c r="J246" i="2"/>
  <c r="K247" i="2"/>
  <c r="I247" i="2"/>
  <c r="J247" i="2"/>
  <c r="K248" i="2"/>
  <c r="I248" i="2"/>
  <c r="J248" i="2"/>
  <c r="K249" i="2"/>
  <c r="I249" i="2"/>
  <c r="J249" i="2"/>
  <c r="I250" i="2"/>
  <c r="K250" i="2"/>
  <c r="J250" i="2"/>
  <c r="I251" i="2"/>
  <c r="K251" i="2"/>
  <c r="J251" i="2"/>
  <c r="I252" i="2"/>
  <c r="K252" i="2"/>
  <c r="J252" i="2"/>
  <c r="I253" i="2"/>
  <c r="K253" i="2"/>
  <c r="J253" i="2"/>
  <c r="I254" i="2"/>
  <c r="K254" i="2"/>
  <c r="J254" i="2"/>
  <c r="K255" i="2"/>
  <c r="I255" i="2"/>
  <c r="J255" i="2"/>
  <c r="K256" i="2"/>
  <c r="J256" i="2"/>
  <c r="I256" i="2"/>
  <c r="I257" i="2"/>
  <c r="K257" i="2"/>
  <c r="J257" i="2"/>
  <c r="J258" i="2"/>
  <c r="K258" i="2"/>
  <c r="I258" i="2"/>
  <c r="I259" i="2"/>
  <c r="J259" i="2"/>
  <c r="K259" i="2"/>
  <c r="J260" i="2"/>
  <c r="I260" i="2"/>
  <c r="K260" i="2"/>
  <c r="I261" i="2"/>
  <c r="J261" i="2"/>
  <c r="K261" i="2"/>
  <c r="I262" i="2"/>
  <c r="J262" i="2"/>
  <c r="K262" i="2"/>
  <c r="K263" i="2"/>
  <c r="J263" i="2"/>
  <c r="I263" i="2"/>
  <c r="J264" i="2"/>
  <c r="K264" i="2"/>
  <c r="I264" i="2"/>
  <c r="J265" i="2"/>
  <c r="K265" i="2"/>
  <c r="I265" i="2"/>
  <c r="J266" i="2"/>
  <c r="I266" i="2"/>
  <c r="K266" i="2"/>
  <c r="J267" i="2"/>
  <c r="K267" i="2"/>
  <c r="I267" i="2"/>
  <c r="K268" i="2"/>
  <c r="J268" i="2"/>
  <c r="I268" i="2"/>
  <c r="K269" i="2"/>
  <c r="J269" i="2"/>
  <c r="I269" i="2"/>
  <c r="K270" i="2"/>
  <c r="J270" i="2"/>
  <c r="I270" i="2"/>
  <c r="K271" i="2"/>
  <c r="J271" i="2"/>
  <c r="I271" i="2"/>
  <c r="J272" i="2"/>
  <c r="K272" i="2"/>
  <c r="I272" i="2"/>
  <c r="K273" i="2"/>
  <c r="J273" i="2"/>
  <c r="I273" i="2"/>
  <c r="K274" i="2"/>
  <c r="I274" i="2"/>
  <c r="J274" i="2"/>
  <c r="K275" i="2"/>
  <c r="I275" i="2"/>
  <c r="J275" i="2"/>
  <c r="K276" i="2"/>
  <c r="J276" i="2"/>
  <c r="I276" i="2"/>
  <c r="K277" i="2"/>
  <c r="J277" i="2"/>
  <c r="I277" i="2"/>
  <c r="K278" i="2"/>
  <c r="I278" i="2"/>
  <c r="J278" i="2"/>
  <c r="K279" i="2"/>
  <c r="I279" i="2"/>
  <c r="J279" i="2"/>
  <c r="K280" i="2"/>
  <c r="I280" i="2"/>
  <c r="J280" i="2"/>
  <c r="K281" i="2"/>
  <c r="J281" i="2"/>
  <c r="I281" i="2"/>
  <c r="J282" i="2"/>
  <c r="K282" i="2"/>
  <c r="I282" i="2"/>
  <c r="K283" i="2"/>
  <c r="J283" i="2"/>
  <c r="I283" i="2"/>
  <c r="K284" i="2"/>
  <c r="J284" i="2"/>
  <c r="I284" i="2"/>
  <c r="K285" i="2"/>
  <c r="J285" i="2"/>
  <c r="I285" i="2"/>
  <c r="K286" i="2"/>
  <c r="J286" i="2"/>
  <c r="I286" i="2"/>
  <c r="K287" i="2"/>
  <c r="J287" i="2"/>
  <c r="I287" i="2"/>
  <c r="K288" i="2"/>
  <c r="J288" i="2"/>
  <c r="I288" i="2"/>
  <c r="K289" i="2"/>
  <c r="J289" i="2"/>
  <c r="I289" i="2"/>
  <c r="K290" i="2"/>
  <c r="J290" i="2"/>
  <c r="I290" i="2"/>
  <c r="K291" i="2"/>
  <c r="J291" i="2"/>
  <c r="I291" i="2"/>
  <c r="K292" i="2"/>
  <c r="I292" i="2"/>
  <c r="J292" i="2"/>
  <c r="K293" i="2"/>
  <c r="I293" i="2"/>
  <c r="J293" i="2"/>
  <c r="I294" i="2"/>
  <c r="K294" i="2"/>
  <c r="J294" i="2"/>
  <c r="I295" i="2"/>
  <c r="K295" i="2"/>
  <c r="J295" i="2"/>
  <c r="K296" i="2"/>
  <c r="J296" i="2"/>
  <c r="I296" i="2"/>
  <c r="J297" i="2"/>
  <c r="K297" i="2"/>
  <c r="I297" i="2"/>
  <c r="J298" i="2"/>
  <c r="K298" i="2"/>
  <c r="I298" i="2"/>
  <c r="J299" i="2"/>
  <c r="I299" i="2"/>
  <c r="K299" i="2"/>
  <c r="K300" i="2"/>
  <c r="J300" i="2"/>
  <c r="I300" i="2"/>
  <c r="K301" i="2"/>
  <c r="J301" i="2"/>
  <c r="I301" i="2"/>
  <c r="K302" i="2"/>
  <c r="J302" i="2"/>
  <c r="I302" i="2"/>
  <c r="K303" i="2"/>
  <c r="J303" i="2"/>
  <c r="I303" i="2"/>
  <c r="K304" i="2"/>
  <c r="J304" i="2"/>
  <c r="I304" i="2"/>
  <c r="K305" i="2"/>
  <c r="J305" i="2"/>
  <c r="I305" i="2"/>
  <c r="I306" i="2"/>
  <c r="K306" i="2"/>
  <c r="J306" i="2"/>
  <c r="J307" i="2"/>
  <c r="K307" i="2"/>
  <c r="I307" i="2"/>
  <c r="K308" i="2"/>
  <c r="J308" i="2"/>
  <c r="I308" i="2"/>
  <c r="J309" i="2"/>
  <c r="K309" i="2"/>
  <c r="I309" i="2"/>
  <c r="J310" i="2"/>
  <c r="K310" i="2"/>
  <c r="I310" i="2"/>
  <c r="J311" i="2"/>
  <c r="I311" i="2"/>
  <c r="K311" i="2"/>
  <c r="K312" i="2"/>
  <c r="J312" i="2"/>
  <c r="I312" i="2"/>
  <c r="J313" i="2"/>
  <c r="K313" i="2"/>
  <c r="I313" i="2"/>
  <c r="J314" i="2"/>
  <c r="K314" i="2"/>
  <c r="I314" i="2"/>
  <c r="J315" i="2"/>
  <c r="I315" i="2"/>
  <c r="K315" i="2"/>
  <c r="I316" i="2"/>
  <c r="J316" i="2"/>
  <c r="K316" i="2"/>
  <c r="K317" i="2"/>
  <c r="J317" i="2"/>
  <c r="I317" i="2"/>
  <c r="J318" i="2"/>
  <c r="I318" i="2"/>
  <c r="K318" i="2"/>
  <c r="J319" i="2"/>
  <c r="K319" i="2"/>
  <c r="I319" i="2"/>
  <c r="J320" i="2"/>
  <c r="I320" i="2"/>
  <c r="K320" i="2"/>
  <c r="I321" i="2"/>
  <c r="K321" i="2"/>
  <c r="J321" i="2"/>
  <c r="J322" i="2"/>
  <c r="K322" i="2"/>
  <c r="I322" i="2"/>
  <c r="I323" i="2"/>
  <c r="J323" i="2"/>
  <c r="K323" i="2"/>
  <c r="J324" i="2"/>
  <c r="K324" i="2"/>
  <c r="I324" i="2"/>
  <c r="J325" i="2"/>
  <c r="K325" i="2"/>
  <c r="I325" i="2"/>
  <c r="K326" i="2"/>
  <c r="I326" i="2"/>
  <c r="J326" i="2"/>
  <c r="I327" i="2"/>
  <c r="J327" i="2"/>
  <c r="K327" i="2"/>
  <c r="K328" i="2"/>
  <c r="J328" i="2"/>
  <c r="I328" i="2"/>
  <c r="J329" i="2"/>
  <c r="K329" i="2"/>
  <c r="I329" i="2"/>
  <c r="K330" i="2"/>
  <c r="I330" i="2"/>
  <c r="J330" i="2"/>
  <c r="J331" i="2"/>
  <c r="I331" i="2"/>
  <c r="K331" i="2"/>
  <c r="I332" i="2"/>
  <c r="J332" i="2"/>
  <c r="K332" i="2"/>
  <c r="J333" i="2"/>
  <c r="I333" i="2"/>
  <c r="K333" i="2"/>
  <c r="K334" i="2"/>
  <c r="J334" i="2"/>
  <c r="I334" i="2"/>
  <c r="I335" i="2"/>
  <c r="J335" i="2"/>
  <c r="K335" i="2"/>
  <c r="I336" i="2"/>
  <c r="J336" i="2"/>
  <c r="K336" i="2"/>
  <c r="I337" i="2"/>
  <c r="J337" i="2"/>
  <c r="K337" i="2"/>
  <c r="I338" i="2"/>
  <c r="J338" i="2"/>
  <c r="K338" i="2"/>
  <c r="J339" i="2"/>
  <c r="I339" i="2"/>
  <c r="K339" i="2"/>
  <c r="I340" i="2"/>
  <c r="J340" i="2"/>
  <c r="K340" i="2"/>
  <c r="I341" i="2"/>
  <c r="K341" i="2"/>
  <c r="J341" i="2"/>
  <c r="J342" i="2"/>
  <c r="I342" i="2"/>
  <c r="K342" i="2"/>
  <c r="K343" i="2"/>
  <c r="J343" i="2"/>
  <c r="I343" i="2"/>
  <c r="K344" i="2"/>
  <c r="I344" i="2"/>
  <c r="J344" i="2"/>
  <c r="K345" i="2"/>
  <c r="I345" i="2"/>
  <c r="J345" i="2"/>
  <c r="I346" i="2"/>
  <c r="K346" i="2"/>
  <c r="J346" i="2"/>
  <c r="I347" i="2"/>
  <c r="K347" i="2"/>
  <c r="J347" i="2"/>
  <c r="I348" i="2"/>
  <c r="K348" i="2"/>
  <c r="J348" i="2"/>
  <c r="J349" i="2"/>
  <c r="K349" i="2"/>
  <c r="I349" i="2"/>
  <c r="I350" i="2"/>
  <c r="K350" i="2"/>
  <c r="J350" i="2"/>
  <c r="K351" i="2"/>
  <c r="I351" i="2"/>
  <c r="J351" i="2"/>
  <c r="J352" i="2"/>
  <c r="K352" i="2"/>
  <c r="I352" i="2"/>
  <c r="I353" i="2"/>
  <c r="J353" i="2"/>
  <c r="K353" i="2"/>
  <c r="J354" i="2"/>
  <c r="I354" i="2"/>
  <c r="K354" i="2"/>
  <c r="J355" i="2"/>
  <c r="I355" i="2"/>
  <c r="K355" i="2"/>
  <c r="I356" i="2"/>
  <c r="K356" i="2"/>
  <c r="J356" i="2"/>
  <c r="I357" i="2"/>
  <c r="J357" i="2"/>
  <c r="K357" i="2"/>
  <c r="I358" i="2"/>
  <c r="J358" i="2"/>
  <c r="K358" i="2"/>
  <c r="I359" i="2"/>
  <c r="J359" i="2"/>
  <c r="K359" i="2"/>
  <c r="I360" i="2"/>
  <c r="J360" i="2"/>
  <c r="K360" i="2"/>
  <c r="I361" i="2"/>
  <c r="J361" i="2"/>
  <c r="K361" i="2"/>
  <c r="I362" i="2"/>
  <c r="K362" i="2"/>
  <c r="J362" i="2"/>
  <c r="I363" i="2"/>
  <c r="K363" i="2"/>
  <c r="J363" i="2"/>
  <c r="I364" i="2"/>
  <c r="J364" i="2"/>
  <c r="K364" i="2"/>
  <c r="I365" i="2"/>
  <c r="K365" i="2"/>
  <c r="J365" i="2"/>
  <c r="I366" i="2"/>
  <c r="K366" i="2"/>
  <c r="J366" i="2"/>
  <c r="I367" i="2"/>
  <c r="K367" i="2"/>
  <c r="J367" i="2"/>
  <c r="I368" i="2"/>
  <c r="K368" i="2"/>
  <c r="J368" i="2"/>
  <c r="I369" i="2"/>
  <c r="J369" i="2"/>
  <c r="K369" i="2"/>
  <c r="J370" i="2"/>
  <c r="I370" i="2"/>
  <c r="K370" i="2"/>
  <c r="K371" i="2"/>
  <c r="J371" i="2"/>
  <c r="I371" i="2"/>
  <c r="K372" i="2"/>
  <c r="J372" i="2"/>
  <c r="I372" i="2"/>
  <c r="K373" i="2"/>
  <c r="I373" i="2"/>
  <c r="J373" i="2"/>
  <c r="K374" i="2"/>
  <c r="J374" i="2"/>
  <c r="I374" i="2"/>
  <c r="K375" i="2"/>
  <c r="J375" i="2"/>
  <c r="I375" i="2"/>
  <c r="K376" i="2"/>
  <c r="J376" i="2"/>
  <c r="I376" i="2"/>
  <c r="K377" i="2"/>
  <c r="J377" i="2"/>
  <c r="I377" i="2"/>
  <c r="K378" i="2"/>
  <c r="J378" i="2"/>
  <c r="I378" i="2"/>
  <c r="K379" i="2"/>
  <c r="J379" i="2"/>
  <c r="I379" i="2"/>
  <c r="I380" i="2"/>
  <c r="K380" i="2"/>
  <c r="J380" i="2"/>
  <c r="K381" i="2"/>
  <c r="J381" i="2"/>
  <c r="I381" i="2"/>
  <c r="J382" i="2"/>
  <c r="K382" i="2"/>
  <c r="I382" i="2"/>
  <c r="I383" i="2"/>
  <c r="K383" i="2"/>
  <c r="J383" i="2"/>
  <c r="I384" i="2"/>
  <c r="K384" i="2"/>
  <c r="J384" i="2"/>
  <c r="K385" i="2"/>
  <c r="I385" i="2"/>
  <c r="J385" i="2"/>
  <c r="J386" i="2"/>
  <c r="I386" i="2"/>
  <c r="K386" i="2"/>
  <c r="I387" i="2"/>
  <c r="J387" i="2"/>
  <c r="K387" i="2"/>
  <c r="J388" i="2"/>
  <c r="K388" i="2"/>
  <c r="I388" i="2"/>
  <c r="J389" i="2"/>
  <c r="K389" i="2"/>
  <c r="I389" i="2"/>
  <c r="J390" i="2"/>
  <c r="K390" i="2"/>
  <c r="I390" i="2"/>
  <c r="K391" i="2"/>
  <c r="J391" i="2"/>
  <c r="I391" i="2"/>
  <c r="K392" i="2"/>
  <c r="J392" i="2"/>
  <c r="I392" i="2"/>
  <c r="K393" i="2"/>
  <c r="J393" i="2"/>
  <c r="I393" i="2"/>
  <c r="K394" i="2"/>
  <c r="J394" i="2"/>
  <c r="I394" i="2"/>
  <c r="K395" i="2"/>
  <c r="I395" i="2"/>
  <c r="J395" i="2"/>
  <c r="I396" i="2"/>
  <c r="K396" i="2"/>
  <c r="J396" i="2"/>
  <c r="K397" i="2"/>
  <c r="I397" i="2"/>
  <c r="J397" i="2"/>
  <c r="K398" i="2"/>
  <c r="I398" i="2"/>
  <c r="J398" i="2"/>
  <c r="K399" i="2"/>
  <c r="I399" i="2"/>
  <c r="J399" i="2"/>
  <c r="I400" i="2"/>
  <c r="K400" i="2"/>
  <c r="J400" i="2"/>
  <c r="K401" i="2"/>
  <c r="I401" i="2"/>
  <c r="J401" i="2"/>
  <c r="K402" i="2"/>
  <c r="I402" i="2"/>
  <c r="J402" i="2"/>
  <c r="K403" i="2"/>
  <c r="I403" i="2"/>
  <c r="J403" i="2"/>
  <c r="J404" i="2"/>
  <c r="K404" i="2"/>
  <c r="I404" i="2"/>
  <c r="K405" i="2"/>
  <c r="J405" i="2"/>
  <c r="I405" i="2"/>
  <c r="I406" i="2"/>
  <c r="J406" i="2"/>
  <c r="K406" i="2"/>
  <c r="I407" i="2"/>
  <c r="K407" i="2"/>
  <c r="J407" i="2"/>
  <c r="K408" i="2"/>
  <c r="I408" i="2"/>
  <c r="J408" i="2"/>
  <c r="I409" i="2"/>
  <c r="K409" i="2"/>
  <c r="J409" i="2"/>
  <c r="I410" i="2"/>
  <c r="K410" i="2"/>
  <c r="J410" i="2"/>
  <c r="K411" i="2"/>
  <c r="I411" i="2"/>
  <c r="J411" i="2"/>
  <c r="K412" i="2"/>
  <c r="I412" i="2"/>
  <c r="J412" i="2"/>
  <c r="K413" i="2"/>
  <c r="I413" i="2"/>
  <c r="J413" i="2"/>
  <c r="J414" i="2"/>
  <c r="I414" i="2"/>
  <c r="K414" i="2"/>
  <c r="J415" i="2"/>
  <c r="I415" i="2"/>
  <c r="K415" i="2"/>
  <c r="I416" i="2"/>
  <c r="J416" i="2"/>
  <c r="K416" i="2"/>
  <c r="J417" i="2"/>
  <c r="K417" i="2"/>
  <c r="I417" i="2"/>
  <c r="J418" i="2"/>
  <c r="I418" i="2"/>
  <c r="K418" i="2"/>
  <c r="J419" i="2"/>
  <c r="K419" i="2"/>
  <c r="I419" i="2"/>
  <c r="J420" i="2"/>
  <c r="K420" i="2"/>
  <c r="I420" i="2"/>
  <c r="I421" i="2"/>
  <c r="J421" i="2"/>
  <c r="K421" i="2"/>
  <c r="J422" i="2"/>
  <c r="K422" i="2"/>
  <c r="I422" i="2"/>
  <c r="I423" i="2"/>
  <c r="K423" i="2"/>
  <c r="J423" i="2"/>
  <c r="I424" i="2"/>
  <c r="J424" i="2"/>
  <c r="K424" i="2"/>
  <c r="I425" i="2"/>
  <c r="J425" i="2"/>
  <c r="K425" i="2"/>
  <c r="I426" i="2"/>
  <c r="J426" i="2"/>
  <c r="K426" i="2"/>
  <c r="I427" i="2"/>
  <c r="J427" i="2"/>
  <c r="K427" i="2"/>
  <c r="I428" i="2"/>
  <c r="J428" i="2"/>
  <c r="K428" i="2"/>
  <c r="J429" i="2"/>
  <c r="I429" i="2"/>
  <c r="K429" i="2"/>
  <c r="J430" i="2"/>
  <c r="K430" i="2"/>
  <c r="I430" i="2"/>
  <c r="J431" i="2"/>
  <c r="K431" i="2"/>
  <c r="I431" i="2"/>
  <c r="J432" i="2"/>
  <c r="K432" i="2"/>
  <c r="I432" i="2"/>
  <c r="J433" i="2"/>
  <c r="K433" i="2"/>
  <c r="I433" i="2"/>
  <c r="K434" i="2"/>
  <c r="I434" i="2"/>
  <c r="J434" i="2"/>
  <c r="K435" i="2"/>
  <c r="J435" i="2"/>
  <c r="I435" i="2"/>
  <c r="K436" i="2"/>
  <c r="I436" i="2"/>
  <c r="J436" i="2"/>
  <c r="K437" i="2"/>
  <c r="I437" i="2"/>
  <c r="J437" i="2"/>
  <c r="I438" i="2"/>
  <c r="K438" i="2"/>
  <c r="J438" i="2"/>
  <c r="K439" i="2"/>
  <c r="J439" i="2"/>
  <c r="I439" i="2"/>
  <c r="I440" i="2"/>
  <c r="K440" i="2"/>
  <c r="J440" i="2"/>
  <c r="I441" i="2"/>
  <c r="K441" i="2"/>
  <c r="J441" i="2"/>
  <c r="I442" i="2"/>
  <c r="K442" i="2"/>
  <c r="J442" i="2"/>
  <c r="J443" i="2"/>
  <c r="I443" i="2"/>
  <c r="K443" i="2"/>
  <c r="I444" i="2"/>
  <c r="J444" i="2"/>
  <c r="K444" i="2"/>
  <c r="I445" i="2"/>
  <c r="J445" i="2"/>
  <c r="K445" i="2"/>
  <c r="I446" i="2"/>
  <c r="K446" i="2"/>
  <c r="J446" i="2"/>
  <c r="I447" i="2"/>
  <c r="J447" i="2"/>
  <c r="K447" i="2"/>
  <c r="J448" i="2"/>
  <c r="I448" i="2"/>
  <c r="K448" i="2"/>
  <c r="J449" i="2"/>
  <c r="I449" i="2"/>
  <c r="K449" i="2"/>
  <c r="J450" i="2"/>
  <c r="I450" i="2"/>
  <c r="K450" i="2"/>
  <c r="J451" i="2"/>
  <c r="I451" i="2"/>
  <c r="K451" i="2"/>
  <c r="I452" i="2"/>
  <c r="J452" i="2"/>
  <c r="K452" i="2"/>
  <c r="I453" i="2"/>
  <c r="J453" i="2"/>
  <c r="K453" i="2"/>
  <c r="J454" i="2"/>
  <c r="I454" i="2"/>
  <c r="K454" i="2"/>
  <c r="I455" i="2"/>
  <c r="K455" i="2"/>
  <c r="J455" i="2"/>
  <c r="J456" i="2"/>
  <c r="I456" i="2"/>
  <c r="K456" i="2"/>
  <c r="K457" i="2"/>
  <c r="I457" i="2"/>
  <c r="J457" i="2"/>
  <c r="I458" i="2"/>
  <c r="J458" i="2"/>
  <c r="K458" i="2"/>
  <c r="J459" i="2"/>
  <c r="K459" i="2"/>
  <c r="I459" i="2"/>
  <c r="I460" i="2"/>
  <c r="K460" i="2"/>
  <c r="J460" i="2"/>
  <c r="I461" i="2"/>
  <c r="K461" i="2"/>
  <c r="J461" i="2"/>
  <c r="K462" i="2"/>
  <c r="J462" i="2"/>
  <c r="I462" i="2"/>
  <c r="J463" i="2"/>
  <c r="K463" i="2"/>
  <c r="I463" i="2"/>
  <c r="K464" i="2"/>
  <c r="J464" i="2"/>
  <c r="I464" i="2"/>
  <c r="J465" i="2"/>
  <c r="K465" i="2"/>
  <c r="I465" i="2"/>
  <c r="I466" i="2"/>
  <c r="J466" i="2"/>
  <c r="K466" i="2"/>
  <c r="K467" i="2"/>
  <c r="J467" i="2"/>
  <c r="I467" i="2"/>
  <c r="J468" i="2"/>
  <c r="I468" i="2"/>
  <c r="K468" i="2"/>
  <c r="I469" i="2"/>
  <c r="K469" i="2"/>
  <c r="J469" i="2"/>
  <c r="I470" i="2"/>
  <c r="K470" i="2"/>
  <c r="J470" i="2"/>
  <c r="I471" i="2"/>
  <c r="K471" i="2"/>
  <c r="J471" i="2"/>
  <c r="J472" i="2"/>
  <c r="I472" i="2"/>
  <c r="K472" i="2"/>
  <c r="J473" i="2"/>
  <c r="I473" i="2"/>
  <c r="K473" i="2"/>
  <c r="J474" i="2"/>
  <c r="I474" i="2"/>
  <c r="K474" i="2"/>
  <c r="J475" i="2"/>
  <c r="I475" i="2"/>
  <c r="K475" i="2"/>
  <c r="J476" i="2"/>
  <c r="K476" i="2"/>
  <c r="I476" i="2"/>
  <c r="J477" i="2"/>
  <c r="K477" i="2"/>
  <c r="I477" i="2"/>
  <c r="K478" i="2"/>
  <c r="I478" i="2"/>
  <c r="J478" i="2"/>
  <c r="I479" i="2"/>
  <c r="J479" i="2"/>
  <c r="K479" i="2"/>
  <c r="I480" i="2"/>
  <c r="K480" i="2"/>
  <c r="J480" i="2"/>
  <c r="K481" i="2"/>
  <c r="I481" i="2"/>
  <c r="J481" i="2"/>
  <c r="K482" i="2"/>
  <c r="I482" i="2"/>
  <c r="J482" i="2"/>
  <c r="J483" i="2"/>
  <c r="K483" i="2"/>
  <c r="I483" i="2"/>
  <c r="K484" i="2"/>
  <c r="I484" i="2"/>
  <c r="J484" i="2"/>
  <c r="J485" i="2"/>
  <c r="K485" i="2"/>
  <c r="I485" i="2"/>
  <c r="K486" i="2"/>
  <c r="I486" i="2"/>
  <c r="J486" i="2"/>
  <c r="K487" i="2"/>
  <c r="J487" i="2"/>
  <c r="I487" i="2"/>
  <c r="K488" i="2"/>
  <c r="J488" i="2"/>
  <c r="I488" i="2"/>
  <c r="K489" i="2"/>
  <c r="I489" i="2"/>
  <c r="J489" i="2"/>
  <c r="K490" i="2"/>
  <c r="J490" i="2"/>
  <c r="I490" i="2"/>
  <c r="J491" i="2"/>
  <c r="I491" i="2"/>
  <c r="K491" i="2"/>
  <c r="J492" i="2"/>
  <c r="I492" i="2"/>
  <c r="K492" i="2"/>
  <c r="I493" i="2"/>
  <c r="K493" i="2"/>
  <c r="J493" i="2"/>
  <c r="K494" i="2"/>
  <c r="J494" i="2"/>
  <c r="I494" i="2"/>
  <c r="K495" i="2"/>
  <c r="I495" i="2"/>
  <c r="J495" i="2"/>
  <c r="K496" i="2"/>
  <c r="I496" i="2"/>
  <c r="J496" i="2"/>
  <c r="K497" i="2"/>
  <c r="J497" i="2"/>
  <c r="I497" i="2"/>
  <c r="I498" i="2"/>
  <c r="K498" i="2"/>
  <c r="J498" i="2"/>
  <c r="I499" i="2"/>
  <c r="K499" i="2"/>
  <c r="J499" i="2"/>
  <c r="I500" i="2"/>
  <c r="J500" i="2"/>
  <c r="K500" i="2"/>
  <c r="J501" i="2"/>
  <c r="I501" i="2"/>
  <c r="K501" i="2"/>
  <c r="J502" i="2"/>
  <c r="I502" i="2"/>
  <c r="K502" i="2"/>
  <c r="I503" i="2"/>
  <c r="J503" i="2"/>
  <c r="K503" i="2"/>
  <c r="K504" i="2"/>
  <c r="J504" i="2"/>
  <c r="I504" i="2"/>
  <c r="I505" i="2"/>
  <c r="J505" i="2"/>
  <c r="K505" i="2"/>
  <c r="K506" i="2"/>
  <c r="I506" i="2"/>
  <c r="J506" i="2"/>
  <c r="K507" i="2"/>
  <c r="I507" i="2"/>
  <c r="J507" i="2"/>
  <c r="K508" i="2"/>
  <c r="I508" i="2"/>
  <c r="J508" i="2"/>
  <c r="J509" i="2"/>
  <c r="I509" i="2"/>
  <c r="K509" i="2"/>
  <c r="I510" i="2"/>
  <c r="J510" i="2"/>
  <c r="K510" i="2"/>
  <c r="J511" i="2"/>
  <c r="I511" i="2"/>
  <c r="K511" i="2"/>
  <c r="J512" i="2"/>
  <c r="I512" i="2"/>
  <c r="K512" i="2"/>
  <c r="J513" i="2"/>
  <c r="I513" i="2"/>
  <c r="K513" i="2"/>
  <c r="I514" i="2"/>
  <c r="J514" i="2"/>
  <c r="K514" i="2"/>
  <c r="K515" i="2"/>
  <c r="I515" i="2"/>
  <c r="J515" i="2"/>
  <c r="K516" i="2"/>
  <c r="I516" i="2"/>
  <c r="J516" i="2"/>
  <c r="I517" i="2"/>
  <c r="J517" i="2"/>
  <c r="K517" i="2"/>
  <c r="J518" i="2"/>
  <c r="K518" i="2"/>
  <c r="I518" i="2"/>
  <c r="J519" i="2"/>
  <c r="I519" i="2"/>
  <c r="K519" i="2"/>
  <c r="I520" i="2"/>
  <c r="J520" i="2"/>
  <c r="K520" i="2"/>
  <c r="K521" i="2"/>
  <c r="I521" i="2"/>
  <c r="J521" i="2"/>
  <c r="K522" i="2"/>
  <c r="J522" i="2"/>
  <c r="I522" i="2"/>
  <c r="J523" i="2"/>
  <c r="K523" i="2"/>
  <c r="I523" i="2"/>
  <c r="J524" i="2"/>
  <c r="K524" i="2"/>
  <c r="I524" i="2"/>
  <c r="I525" i="2"/>
  <c r="J525" i="2"/>
  <c r="K525" i="2"/>
  <c r="J526" i="2"/>
  <c r="I526" i="2"/>
  <c r="K526" i="2"/>
  <c r="J527" i="2"/>
  <c r="K527" i="2"/>
  <c r="I527" i="2"/>
  <c r="J528" i="2"/>
  <c r="K528" i="2"/>
  <c r="I528" i="2"/>
  <c r="J529" i="2"/>
  <c r="K529" i="2"/>
  <c r="I529" i="2"/>
  <c r="I530" i="2"/>
  <c r="J530" i="2"/>
  <c r="K530" i="2"/>
  <c r="K531" i="2"/>
  <c r="I531" i="2"/>
  <c r="J531" i="2"/>
  <c r="K532" i="2"/>
  <c r="I532" i="2"/>
  <c r="J532" i="2"/>
  <c r="I533" i="2"/>
  <c r="K533" i="2"/>
  <c r="J533" i="2"/>
  <c r="I534" i="2"/>
  <c r="K534" i="2"/>
  <c r="J534" i="2"/>
  <c r="I535" i="2"/>
  <c r="K535" i="2"/>
  <c r="J535" i="2"/>
  <c r="I536" i="2"/>
  <c r="K536" i="2"/>
  <c r="J536" i="2"/>
  <c r="J537" i="2"/>
  <c r="K537" i="2"/>
  <c r="I537" i="2"/>
  <c r="K538" i="2"/>
  <c r="J538" i="2"/>
  <c r="I538" i="2"/>
  <c r="J539" i="2"/>
  <c r="I539" i="2"/>
  <c r="K539" i="2"/>
  <c r="J540" i="2"/>
  <c r="I540" i="2"/>
  <c r="K540" i="2"/>
  <c r="I541" i="2"/>
  <c r="K541" i="2"/>
  <c r="J541" i="2"/>
  <c r="I542" i="2"/>
  <c r="K542" i="2"/>
  <c r="J542" i="2"/>
  <c r="K543" i="2"/>
  <c r="J543" i="2"/>
  <c r="I543" i="2"/>
  <c r="J544" i="2"/>
  <c r="K544" i="2"/>
  <c r="I544" i="2"/>
  <c r="J545" i="2"/>
  <c r="K545" i="2"/>
  <c r="I545" i="2"/>
  <c r="I546" i="2"/>
  <c r="K546" i="2"/>
  <c r="J546" i="2"/>
  <c r="I547" i="2"/>
  <c r="K547" i="2"/>
  <c r="J547" i="2"/>
  <c r="J548" i="2"/>
  <c r="K548" i="2"/>
  <c r="I548" i="2"/>
  <c r="J549" i="2"/>
  <c r="K549" i="2"/>
  <c r="I549" i="2"/>
  <c r="J550" i="2"/>
  <c r="K550" i="2"/>
  <c r="I550" i="2"/>
  <c r="J551" i="2"/>
  <c r="K551" i="2"/>
  <c r="I551" i="2"/>
  <c r="J552" i="2"/>
  <c r="K552" i="2"/>
  <c r="I552" i="2"/>
  <c r="J553" i="2"/>
  <c r="K553" i="2"/>
  <c r="I553" i="2"/>
  <c r="J554" i="2"/>
  <c r="K554" i="2"/>
  <c r="I554" i="2"/>
  <c r="J555" i="2"/>
  <c r="K555" i="2"/>
  <c r="I555" i="2"/>
  <c r="J556" i="2"/>
  <c r="K556" i="2"/>
  <c r="I556" i="2"/>
  <c r="J557" i="2"/>
  <c r="K557" i="2"/>
  <c r="I557" i="2"/>
  <c r="J558" i="2"/>
  <c r="K558" i="2"/>
  <c r="I558" i="2"/>
  <c r="K559" i="2"/>
  <c r="J559" i="2"/>
  <c r="I559" i="2"/>
  <c r="K560" i="2"/>
  <c r="J560" i="2"/>
  <c r="I560" i="2"/>
  <c r="K561" i="2"/>
  <c r="J561" i="2"/>
  <c r="I561" i="2"/>
  <c r="I562" i="2"/>
  <c r="J562" i="2"/>
  <c r="K562" i="2"/>
  <c r="J563" i="2"/>
  <c r="I563" i="2"/>
  <c r="K563" i="2"/>
  <c r="K564" i="2"/>
  <c r="J564" i="2"/>
  <c r="I564" i="2"/>
  <c r="K565" i="2"/>
  <c r="I565" i="2"/>
  <c r="J565" i="2"/>
  <c r="I566" i="2"/>
  <c r="J566" i="2"/>
  <c r="K566" i="2"/>
  <c r="K567" i="2"/>
  <c r="I567" i="2"/>
  <c r="J567" i="2"/>
  <c r="K568" i="2"/>
  <c r="I568" i="2"/>
  <c r="J568" i="2"/>
  <c r="K569" i="2"/>
  <c r="I569" i="2"/>
  <c r="J569" i="2"/>
  <c r="I570" i="2"/>
  <c r="J570" i="2"/>
  <c r="K570" i="2"/>
  <c r="K571" i="2"/>
  <c r="I571" i="2"/>
  <c r="J571" i="2"/>
  <c r="J572" i="2"/>
  <c r="K572" i="2"/>
  <c r="I572" i="2"/>
  <c r="K573" i="2"/>
  <c r="I573" i="2"/>
  <c r="J573" i="2"/>
  <c r="K574" i="2"/>
  <c r="J574" i="2"/>
  <c r="I574" i="2"/>
  <c r="K575" i="2"/>
  <c r="I575" i="2"/>
  <c r="J575" i="2"/>
  <c r="K576" i="2"/>
  <c r="I576" i="2"/>
  <c r="J576" i="2"/>
  <c r="K577" i="2"/>
  <c r="I577" i="2"/>
  <c r="J577" i="2"/>
  <c r="K578" i="2"/>
  <c r="I578" i="2"/>
  <c r="J578" i="2"/>
  <c r="K579" i="2"/>
  <c r="I579" i="2"/>
  <c r="J579" i="2"/>
  <c r="K580" i="2"/>
  <c r="I580" i="2"/>
  <c r="J580" i="2"/>
  <c r="K581" i="2"/>
  <c r="I581" i="2"/>
  <c r="J581" i="2"/>
  <c r="I582" i="2"/>
  <c r="J582" i="2"/>
  <c r="K582" i="2"/>
  <c r="I583" i="2"/>
  <c r="K583" i="2"/>
  <c r="J583" i="2"/>
  <c r="I584" i="2"/>
  <c r="J584" i="2"/>
  <c r="K584" i="2"/>
  <c r="K754" i="2"/>
  <c r="J754" i="2"/>
  <c r="K755" i="2"/>
  <c r="J755" i="2"/>
  <c r="J756" i="2"/>
  <c r="K756" i="2"/>
  <c r="K757" i="2"/>
  <c r="J757" i="2"/>
  <c r="J758" i="2"/>
  <c r="K758" i="2"/>
  <c r="J759" i="2"/>
  <c r="K759" i="2"/>
  <c r="K760" i="2"/>
  <c r="J760" i="2"/>
  <c r="K761" i="2"/>
  <c r="J761" i="2"/>
  <c r="K762" i="2"/>
  <c r="J762" i="2"/>
  <c r="K763" i="2"/>
  <c r="J763" i="2"/>
  <c r="K764" i="2"/>
  <c r="J764" i="2"/>
  <c r="K765" i="2"/>
  <c r="J765" i="2"/>
  <c r="K766" i="2"/>
  <c r="J766" i="2"/>
  <c r="K767" i="2"/>
  <c r="J767" i="2"/>
  <c r="K768" i="2"/>
  <c r="J768" i="2"/>
  <c r="J769" i="2"/>
  <c r="K769" i="2"/>
  <c r="J770" i="2"/>
  <c r="K770" i="2"/>
  <c r="K771" i="2"/>
  <c r="J771" i="2"/>
  <c r="J772" i="2"/>
  <c r="K772" i="2"/>
  <c r="K773" i="2"/>
  <c r="J773" i="2"/>
  <c r="J774" i="2"/>
  <c r="K774" i="2"/>
  <c r="J775" i="2"/>
  <c r="K775" i="2"/>
  <c r="J776" i="2"/>
  <c r="K776" i="2"/>
  <c r="J777" i="2"/>
  <c r="K777" i="2"/>
  <c r="K778" i="2"/>
  <c r="J778" i="2"/>
  <c r="K779" i="2"/>
  <c r="J779" i="2"/>
  <c r="K780" i="2"/>
  <c r="J780" i="2"/>
  <c r="K781" i="2"/>
  <c r="J781" i="2"/>
  <c r="J782" i="2"/>
  <c r="K782" i="2"/>
  <c r="J783" i="2"/>
  <c r="K783" i="2"/>
  <c r="K784" i="2"/>
  <c r="J784" i="2"/>
  <c r="J785" i="2"/>
  <c r="K785" i="2"/>
  <c r="J786" i="2"/>
  <c r="K786" i="2"/>
  <c r="K787" i="2"/>
  <c r="J787" i="2"/>
  <c r="K788" i="2"/>
  <c r="J788" i="2"/>
  <c r="J789" i="2"/>
  <c r="K789" i="2"/>
  <c r="J790" i="2"/>
  <c r="K790" i="2"/>
  <c r="J791" i="2"/>
  <c r="K791" i="2"/>
  <c r="J792" i="2"/>
  <c r="K792" i="2"/>
  <c r="J793" i="2"/>
  <c r="K793" i="2"/>
  <c r="J794" i="2"/>
  <c r="K794" i="2"/>
  <c r="K795" i="2"/>
  <c r="J795" i="2"/>
  <c r="K796" i="2"/>
  <c r="J796" i="2"/>
  <c r="K797" i="2"/>
  <c r="J797" i="2"/>
  <c r="J798" i="2"/>
  <c r="K798" i="2"/>
  <c r="K799" i="2"/>
  <c r="J799" i="2"/>
  <c r="K800" i="2"/>
  <c r="J800" i="2"/>
  <c r="K801" i="2"/>
  <c r="J801" i="2"/>
  <c r="J802" i="2"/>
  <c r="K802" i="2"/>
  <c r="J803" i="2"/>
  <c r="K803" i="2"/>
  <c r="J804" i="2"/>
  <c r="K804" i="2"/>
  <c r="J805" i="2"/>
  <c r="K805" i="2"/>
  <c r="K806" i="2"/>
  <c r="J806" i="2"/>
  <c r="K807" i="2"/>
  <c r="J807" i="2"/>
  <c r="K808" i="2"/>
  <c r="J808" i="2"/>
  <c r="J809" i="2"/>
  <c r="K809" i="2"/>
  <c r="J810" i="2"/>
  <c r="K810" i="2"/>
  <c r="K811" i="2"/>
  <c r="J811" i="2"/>
  <c r="J812" i="2"/>
  <c r="K812" i="2"/>
  <c r="J813" i="2"/>
  <c r="K813" i="2"/>
  <c r="J814" i="2"/>
  <c r="K814" i="2"/>
  <c r="J815" i="2"/>
  <c r="K815" i="2"/>
  <c r="J816" i="2"/>
  <c r="K816" i="2"/>
  <c r="J817" i="2"/>
  <c r="K817" i="2"/>
  <c r="J818" i="2"/>
  <c r="K818" i="2"/>
  <c r="J819" i="2"/>
  <c r="K819" i="2"/>
  <c r="J820" i="2"/>
  <c r="K820" i="2"/>
  <c r="J821" i="2"/>
  <c r="K821" i="2"/>
  <c r="J822" i="2"/>
  <c r="K822" i="2"/>
  <c r="J823" i="2"/>
  <c r="K823" i="2"/>
  <c r="K824" i="2"/>
  <c r="J824" i="2"/>
  <c r="J825" i="2"/>
  <c r="K825" i="2"/>
  <c r="K826" i="2"/>
  <c r="J826" i="2"/>
  <c r="K827" i="2"/>
  <c r="J827" i="2"/>
  <c r="K828" i="2"/>
  <c r="J828" i="2"/>
  <c r="J829" i="2"/>
  <c r="K829" i="2"/>
  <c r="K830" i="2"/>
  <c r="J830" i="2"/>
  <c r="K831" i="2"/>
  <c r="J831" i="2"/>
  <c r="K832" i="2"/>
  <c r="J832" i="2"/>
  <c r="K833" i="2"/>
  <c r="J833" i="2"/>
  <c r="J834" i="2"/>
  <c r="K834" i="2"/>
  <c r="J835" i="2"/>
  <c r="K835" i="2"/>
  <c r="J836" i="2"/>
  <c r="K836" i="2"/>
  <c r="J837" i="2"/>
  <c r="K837" i="2"/>
  <c r="J838" i="2"/>
  <c r="K838" i="2"/>
  <c r="J839" i="2"/>
  <c r="K839" i="2"/>
  <c r="K840" i="2"/>
  <c r="J840" i="2"/>
  <c r="J841" i="2"/>
  <c r="K841" i="2"/>
  <c r="K842" i="2"/>
  <c r="J842" i="2"/>
  <c r="K843" i="2"/>
  <c r="J843" i="2"/>
  <c r="K844" i="2"/>
  <c r="J844" i="2"/>
  <c r="J845" i="2"/>
  <c r="K845" i="2"/>
  <c r="K846" i="2"/>
  <c r="J846" i="2"/>
  <c r="J847" i="2"/>
  <c r="K847" i="2"/>
  <c r="K848" i="2"/>
  <c r="J848" i="2"/>
  <c r="K849" i="2"/>
  <c r="J849" i="2"/>
  <c r="K850" i="2"/>
  <c r="J850" i="2"/>
  <c r="J851" i="2"/>
  <c r="K851" i="2"/>
  <c r="K852" i="2"/>
  <c r="J852" i="2"/>
  <c r="K853" i="2"/>
  <c r="J853" i="2"/>
  <c r="K854" i="2"/>
  <c r="J854" i="2"/>
  <c r="J855" i="2"/>
  <c r="K855" i="2"/>
  <c r="K856" i="2"/>
  <c r="J856" i="2"/>
  <c r="J857" i="2"/>
  <c r="K857" i="2"/>
  <c r="K858" i="2"/>
  <c r="J858" i="2"/>
  <c r="J859" i="2"/>
  <c r="K859" i="2"/>
  <c r="K860" i="2"/>
  <c r="J860" i="2"/>
  <c r="J861" i="2"/>
  <c r="K861" i="2"/>
  <c r="K862" i="2"/>
  <c r="J862" i="2"/>
  <c r="K863" i="2"/>
  <c r="J863" i="2"/>
  <c r="J864" i="2"/>
  <c r="K864" i="2"/>
  <c r="K865" i="2"/>
  <c r="J865" i="2"/>
  <c r="K866" i="2"/>
  <c r="J866" i="2"/>
  <c r="K867" i="2"/>
  <c r="J867" i="2"/>
  <c r="K868" i="2"/>
  <c r="J868" i="2"/>
  <c r="K869" i="2"/>
  <c r="J869" i="2"/>
  <c r="J870" i="2"/>
  <c r="K870" i="2"/>
  <c r="J871" i="2"/>
  <c r="K871" i="2"/>
  <c r="J872" i="2"/>
  <c r="K872" i="2"/>
  <c r="J873" i="2"/>
  <c r="K873" i="2"/>
  <c r="J874" i="2"/>
  <c r="K874" i="2"/>
  <c r="K875" i="2"/>
  <c r="J875" i="2"/>
  <c r="K876" i="2"/>
  <c r="J876" i="2"/>
  <c r="K877" i="2"/>
  <c r="J877" i="2"/>
  <c r="K878" i="2"/>
  <c r="J878" i="2"/>
  <c r="K879" i="2"/>
  <c r="J879" i="2"/>
  <c r="K880" i="2"/>
  <c r="J880" i="2"/>
  <c r="J881" i="2"/>
  <c r="K881" i="2"/>
  <c r="J882" i="2"/>
  <c r="K882" i="2"/>
  <c r="J883" i="2"/>
  <c r="K883" i="2"/>
  <c r="J884" i="2"/>
  <c r="K884" i="2"/>
  <c r="J885" i="2"/>
  <c r="K885" i="2"/>
  <c r="J886" i="2"/>
  <c r="K886" i="2"/>
  <c r="J887" i="2"/>
  <c r="K887" i="2"/>
  <c r="J888" i="2"/>
  <c r="K888" i="2"/>
  <c r="J889" i="2"/>
  <c r="K889" i="2"/>
  <c r="J890" i="2"/>
  <c r="K890" i="2"/>
  <c r="J891" i="2"/>
  <c r="K891" i="2"/>
  <c r="K892" i="2"/>
  <c r="J892" i="2"/>
  <c r="K893" i="2"/>
  <c r="J893" i="2"/>
  <c r="J894" i="2"/>
  <c r="K894" i="2"/>
  <c r="K895" i="2"/>
  <c r="J895" i="2"/>
  <c r="K896" i="2"/>
  <c r="J896" i="2"/>
  <c r="K897" i="2"/>
  <c r="J897" i="2"/>
  <c r="K898" i="2"/>
  <c r="J898" i="2"/>
  <c r="K899" i="2"/>
  <c r="J899" i="2"/>
  <c r="K900" i="2"/>
  <c r="J900" i="2"/>
  <c r="K901" i="2"/>
  <c r="J901" i="2"/>
  <c r="K902" i="2"/>
  <c r="J902" i="2"/>
  <c r="K903" i="2"/>
  <c r="J903" i="2"/>
  <c r="K904" i="2"/>
  <c r="J904" i="2"/>
  <c r="K905" i="2"/>
  <c r="J905" i="2"/>
  <c r="K906" i="2"/>
  <c r="J906" i="2"/>
  <c r="K907" i="2"/>
  <c r="J907" i="2"/>
  <c r="K908" i="2"/>
  <c r="J908" i="2"/>
  <c r="K909" i="2"/>
  <c r="J909" i="2"/>
  <c r="K910" i="2"/>
  <c r="J910" i="2"/>
  <c r="K911" i="2"/>
  <c r="J911" i="2"/>
  <c r="K912" i="2"/>
  <c r="J912" i="2"/>
  <c r="K913" i="2"/>
  <c r="J913" i="2"/>
  <c r="K914" i="2"/>
  <c r="J914" i="2"/>
  <c r="K915" i="2"/>
  <c r="J915" i="2"/>
  <c r="K916" i="2"/>
  <c r="J916" i="2"/>
  <c r="K917" i="2"/>
  <c r="J917" i="2"/>
  <c r="J918" i="2"/>
  <c r="K918" i="2"/>
  <c r="K919" i="2"/>
  <c r="J919" i="2"/>
  <c r="K920" i="2"/>
  <c r="J920" i="2"/>
  <c r="K921" i="2"/>
  <c r="J921" i="2"/>
  <c r="K922" i="2"/>
  <c r="J922" i="2"/>
  <c r="K923" i="2"/>
  <c r="J923" i="2"/>
  <c r="K924" i="2"/>
  <c r="J924" i="2"/>
  <c r="K925" i="2"/>
  <c r="J925" i="2"/>
  <c r="K926" i="2"/>
  <c r="J926" i="2"/>
  <c r="K927" i="2"/>
  <c r="J927" i="2"/>
  <c r="K928" i="2"/>
  <c r="J928" i="2"/>
  <c r="K929" i="2"/>
  <c r="J929" i="2"/>
  <c r="K930" i="2"/>
  <c r="J930" i="2"/>
  <c r="K931" i="2"/>
  <c r="J931" i="2"/>
  <c r="K932" i="2"/>
  <c r="J932" i="2"/>
  <c r="K933" i="2"/>
  <c r="J933" i="2"/>
  <c r="J934" i="2"/>
  <c r="K934" i="2"/>
  <c r="K935" i="2"/>
  <c r="J935" i="2"/>
  <c r="K936" i="2"/>
  <c r="J936" i="2"/>
  <c r="J937" i="2"/>
  <c r="K937" i="2"/>
  <c r="J938" i="2"/>
  <c r="K938" i="2"/>
  <c r="J939" i="2"/>
  <c r="K939" i="2"/>
  <c r="J940" i="2"/>
  <c r="K940" i="2"/>
  <c r="J941" i="2"/>
  <c r="K941" i="2"/>
  <c r="J942" i="2"/>
  <c r="K942" i="2"/>
  <c r="J943" i="2"/>
  <c r="K943" i="2"/>
  <c r="K944" i="2"/>
  <c r="J944" i="2"/>
  <c r="K945" i="2"/>
  <c r="J945" i="2"/>
  <c r="J946" i="2"/>
  <c r="K946" i="2"/>
  <c r="K947" i="2"/>
  <c r="J947" i="2"/>
  <c r="K948" i="2"/>
  <c r="J948" i="2"/>
  <c r="K949" i="2"/>
  <c r="J949" i="2"/>
  <c r="J950" i="2"/>
  <c r="K950" i="2"/>
  <c r="J951" i="2"/>
  <c r="K951" i="2"/>
  <c r="J952" i="2"/>
  <c r="K952" i="2"/>
  <c r="K953" i="2"/>
  <c r="J953" i="2"/>
  <c r="J954" i="2"/>
  <c r="K954" i="2"/>
  <c r="K955" i="2"/>
  <c r="J955" i="2"/>
  <c r="K956" i="2"/>
  <c r="J956" i="2"/>
  <c r="K957" i="2"/>
  <c r="J957" i="2"/>
  <c r="J958" i="2"/>
  <c r="K958" i="2"/>
  <c r="K959" i="2"/>
  <c r="J959" i="2"/>
  <c r="K960" i="2"/>
  <c r="J960" i="2"/>
  <c r="K961" i="2"/>
  <c r="J961" i="2"/>
  <c r="K962" i="2"/>
  <c r="J962" i="2"/>
  <c r="K963" i="2"/>
  <c r="J963" i="2"/>
  <c r="J964" i="2"/>
  <c r="K964" i="2"/>
  <c r="K965" i="2"/>
  <c r="J965" i="2"/>
  <c r="J966" i="2"/>
  <c r="K966" i="2"/>
  <c r="J967" i="2"/>
  <c r="K967" i="2"/>
  <c r="J968" i="2"/>
  <c r="K968" i="2"/>
  <c r="J969" i="2"/>
  <c r="K969" i="2"/>
  <c r="J970" i="2"/>
  <c r="K970" i="2"/>
  <c r="K971" i="2"/>
  <c r="J971" i="2"/>
  <c r="K972" i="2"/>
  <c r="J972" i="2"/>
  <c r="K973" i="2"/>
  <c r="J973" i="2"/>
  <c r="J974" i="2"/>
  <c r="K974" i="2"/>
  <c r="K975" i="2"/>
  <c r="J975" i="2"/>
  <c r="J976" i="2"/>
  <c r="K976" i="2"/>
  <c r="K977" i="2"/>
  <c r="J977" i="2"/>
  <c r="J978" i="2"/>
  <c r="K978" i="2"/>
  <c r="J979" i="2"/>
  <c r="K979" i="2"/>
  <c r="J980" i="2"/>
  <c r="K980" i="2"/>
  <c r="J981" i="2"/>
  <c r="K981" i="2"/>
  <c r="J982" i="2"/>
  <c r="K982" i="2"/>
  <c r="J983" i="2"/>
  <c r="K983" i="2"/>
  <c r="J984" i="2"/>
  <c r="K984" i="2"/>
  <c r="K985" i="2"/>
  <c r="J985" i="2"/>
  <c r="K986" i="2"/>
  <c r="J986" i="2"/>
  <c r="K987" i="2"/>
  <c r="J987" i="2"/>
  <c r="K988" i="2"/>
  <c r="J988" i="2"/>
  <c r="K989" i="2"/>
  <c r="J989" i="2"/>
  <c r="K990" i="2"/>
  <c r="J990" i="2"/>
  <c r="K991" i="2"/>
  <c r="J991" i="2"/>
  <c r="K992" i="2"/>
  <c r="J992" i="2"/>
  <c r="K993" i="2"/>
  <c r="J993" i="2"/>
  <c r="K994" i="2"/>
  <c r="J994" i="2"/>
  <c r="J995" i="2"/>
  <c r="K995" i="2"/>
  <c r="K996" i="2"/>
  <c r="J996" i="2"/>
  <c r="J997" i="2"/>
  <c r="K997" i="2"/>
  <c r="J998" i="2"/>
  <c r="K998" i="2"/>
  <c r="K999" i="2"/>
  <c r="J999" i="2"/>
  <c r="K1000" i="2"/>
  <c r="J1000" i="2"/>
  <c r="K1001" i="2"/>
  <c r="J1001" i="2"/>
  <c r="K1002" i="2"/>
  <c r="J1002" i="2"/>
  <c r="K1003" i="2"/>
  <c r="J1003" i="2"/>
  <c r="K1004" i="2"/>
  <c r="J1004" i="2"/>
  <c r="K1005" i="2"/>
  <c r="J1005" i="2"/>
  <c r="K1006" i="2"/>
  <c r="J1006" i="2"/>
  <c r="J1007" i="2"/>
  <c r="K1007" i="2"/>
  <c r="K1008" i="2"/>
  <c r="J1008" i="2"/>
  <c r="J1009" i="2"/>
  <c r="K1009" i="2"/>
  <c r="I10" i="2"/>
  <c r="K10" i="2"/>
  <c r="J10" i="2"/>
  <c r="J12" i="3"/>
  <c r="B15" i="3"/>
  <c r="B6" i="3"/>
  <c r="F6" i="3"/>
  <c r="J6" i="3"/>
  <c r="B9" i="3"/>
  <c r="F9" i="3"/>
  <c r="B12" i="3"/>
  <c r="F12" i="3"/>
  <c r="J9" i="3"/>
</calcChain>
</file>

<file path=xl/sharedStrings.xml><?xml version="1.0" encoding="utf-8"?>
<sst xmlns="http://schemas.openxmlformats.org/spreadsheetml/2006/main" count="677" uniqueCount="301">
  <si>
    <t>Key</t>
  </si>
  <si>
    <t>Name</t>
  </si>
  <si>
    <t>Description</t>
  </si>
  <si>
    <t>immobilisations</t>
  </si>
  <si>
    <t>Immobilisation</t>
  </si>
  <si>
    <t>Analyse des investissements et équipements</t>
  </si>
  <si>
    <t>fournisseurs</t>
  </si>
  <si>
    <t>Fournisseurs - Achats</t>
  </si>
  <si>
    <t>Évaluation des approvisionnements et services extérieurs</t>
  </si>
  <si>
    <t>clients</t>
  </si>
  <si>
    <t>Clients - Ventes</t>
  </si>
  <si>
    <t>Analyse de la relation client et des ventes</t>
  </si>
  <si>
    <t>stocks</t>
  </si>
  <si>
    <t>Stocks</t>
  </si>
  <si>
    <t>Optimisation des stocks et circularité</t>
  </si>
  <si>
    <t>deplacements</t>
  </si>
  <si>
    <t>Déplacements - Mobilité</t>
  </si>
  <si>
    <t>Optimisation des transports</t>
  </si>
  <si>
    <t>energie_dechets</t>
  </si>
  <si>
    <t>Énergie - Déchets - Eau</t>
  </si>
  <si>
    <t>Gestion des ressources</t>
  </si>
  <si>
    <t>tresorerie_financement</t>
  </si>
  <si>
    <t>Finance - Trésorerie</t>
  </si>
  <si>
    <t>Leviers financiers verts</t>
  </si>
  <si>
    <t>personnel</t>
  </si>
  <si>
    <t>Personnel - RH</t>
  </si>
  <si>
    <t>Politique RH durable</t>
  </si>
  <si>
    <t>emballages</t>
  </si>
  <si>
    <t>Emballages</t>
  </si>
  <si>
    <t>Réduction des déchets d'emballage</t>
  </si>
  <si>
    <t>CycleKey</t>
  </si>
  <si>
    <t>ItemType</t>
  </si>
  <si>
    <t>ItemText</t>
  </si>
  <si>
    <t>Q</t>
  </si>
  <si>
    <t>Avez-vous identifié des équipements obsolètes ou énergivores ?</t>
  </si>
  <si>
    <t>Certains matériels sont-ils concernés par des normes environnementales spécifiques ?</t>
  </si>
  <si>
    <t>Des réflexions sont-elles en cours sur la rénovation énergétique des bâtiments ?</t>
  </si>
  <si>
    <t>Avez-vous envisagé des aides pour financer des investissements "verts" ?</t>
  </si>
  <si>
    <t>I</t>
  </si>
  <si>
    <t>Équipements anciens/énergivores</t>
  </si>
  <si>
    <t>Bâtiment mal isolé ou non rénové</t>
  </si>
  <si>
    <t>Absence de suivi des consommations énergétiques</t>
  </si>
  <si>
    <t>Sortie d'immobilisation : la question du recyclage des sorties et des déchets dangereux</t>
  </si>
  <si>
    <t>Entrée d'immobilisation : non analyse d'impact écologique avant le choix et l'achat</t>
  </si>
  <si>
    <t>A</t>
  </si>
  <si>
    <t>Audit énergétique avec partenaire certifié</t>
  </si>
  <si>
    <t>Aide aux financements ADEME/Bpifrance</t>
  </si>
  <si>
    <t>Plan de rénovation thermique</t>
  </si>
  <si>
    <t>Programme de remplacement progressif des équipements</t>
  </si>
  <si>
    <t>Investissements dans des immobilisations durables</t>
  </si>
  <si>
    <t>Avons-nous une cartographie fournisseurs intégrant le risque RSE ?</t>
  </si>
  <si>
    <t>Suivez-vous la consommation par véhicule / par conducteur ?</t>
  </si>
  <si>
    <t>Quelle est l'origine de notre B100 (traçabilité, certifications durables) ?</t>
  </si>
  <si>
    <t>Avons-nous évalué la possibilité de souscrire à de l'énergie renouvelable ?</t>
  </si>
  <si>
    <t>Vos pneus usagés sont-ils recyclés ? Vos fournisseurs proposent-ils des alternatives recyclables ?</t>
  </si>
  <si>
    <t>Peut-on réduire le volume global d'emballages ?</t>
  </si>
  <si>
    <t>Connaissez-vous l'empreinte sociale et environnementale de vos sous-traitants ?</t>
  </si>
  <si>
    <t>Les assureurs valorisent-ils une flotte bas carbone ? Comparez-vous régulièrement les offres ?</t>
  </si>
  <si>
    <t>Les bâtiments loués respectent-ils les normes environnementales (DPE, HQE) ?</t>
  </si>
  <si>
    <t>Existe-t-il des alternatives plus responsables (coworking, logistique partagée) ?</t>
  </si>
  <si>
    <t>Existe-t-il une politique interne de mobilité durable ?</t>
  </si>
  <si>
    <t>Concentration des achats sur quelques fournisseurs → dépendance</t>
  </si>
  <si>
    <t>Dépendance aux carburants fossiles (Gasoil, Essence, GAZ)</t>
  </si>
  <si>
    <t>Si B100, Difficulté à vérifier la traçabilité des huiles végétales utilisées</t>
  </si>
  <si>
    <t>Achats d'équipement à fort impact environnemental (Pneumatiques)</t>
  </si>
  <si>
    <t>Emballages parfois non recyclable et des quantités non suivies précisément</t>
  </si>
  <si>
    <t>Risque de dépendance d'un sous-traitant non écologique</t>
  </si>
  <si>
    <t>Sélection d'un assureur sans prise en compte des critères RSE</t>
  </si>
  <si>
    <t>Location de matériel ou locaux sans évaluation énergétique</t>
  </si>
  <si>
    <t>Dépenses élevées en déplacements (train, avion, voiture)</t>
  </si>
  <si>
    <t>Déploiement d'une politique d'achats responsables (charte fournisseurs, critères ESG)</t>
  </si>
  <si>
    <t>Mettre en place un tableau de bord carburant (litres/km)</t>
  </si>
  <si>
    <t>Former les conducteurs à l'éco-conduite</t>
  </si>
  <si>
    <t>Diversifier l'approvisionnement en carburants alternatifs (BioGNV, électrique)</t>
  </si>
  <si>
    <t>Lancer un plan de renouvellement du parc léger</t>
  </si>
  <si>
    <t>Intégrer la rechapage/recyclage dans la politique d'achat</t>
  </si>
  <si>
    <t>Négocier la réduction des emballages superflus</t>
  </si>
  <si>
    <t>Cartographier les sous-traitants et intégrer des critères écologiques dans le choix</t>
  </si>
  <si>
    <t>Lancer un appel d'offres assurance intégrant des critères durables</t>
  </si>
  <si>
    <t>Négocier des bonus "flotte écoresponsable"</t>
  </si>
  <si>
    <t>Renégocier ou transférer vers des sites plus performants énergétiquement</t>
  </si>
  <si>
    <t>Réduire les locations temporaires par optimisation interne</t>
  </si>
  <si>
    <t>Mettre en place une politique de mobilité durable (priorité au train vs avion, encouragement au covoiturage, remboursement vélo)</t>
  </si>
  <si>
    <t>Quelle part du CA est réalisée avec des clients sensibles aux enjeux durables ?</t>
  </si>
  <si>
    <t>Vos clients demandent-ils des reporting carbone ?</t>
  </si>
  <si>
    <t>Pouvons-nous proposer une offre "durable" avec surcoût accepté ?</t>
  </si>
  <si>
    <t>Quelle part du CA est liée aux marchés publics (souvent sensibles au critère RSE) ?</t>
  </si>
  <si>
    <t>Ces remises sont-elles liées uniquement au volume, ou à des comportements vertueux (ex. engagement durable du client) ?</t>
  </si>
  <si>
    <t>Avons-nous recensé toutes les aides/subventions "durabilité" disponibles ?</t>
  </si>
  <si>
    <t>Dépendance à quelques gros clients</t>
  </si>
  <si>
    <t>CA fortement dépendant d'une clientèle concentrée (risque de dépendance)</t>
  </si>
  <si>
    <t>Pas de différenciation tarifaire "bas carbone"</t>
  </si>
  <si>
    <t>Réductions commerciales peu reliées à une stratégie commerciale durable</t>
  </si>
  <si>
    <t>Subventions perçues (CEE, aides ADEME) non mises en avant</t>
  </si>
  <si>
    <t>Développer une offre bas carbone pour fidéliser et conquérir les clients "verts"</t>
  </si>
  <si>
    <t>Développer une offre commerciale bas carbone</t>
  </si>
  <si>
    <t>Segmenter le portefeuille clients (clients sensibles au durable vs non sensibles)</t>
  </si>
  <si>
    <t>Conditionner certaines remises à des engagements RSE clients (utilisation de solutions bas carbone, fidélité dans les flux durables)</t>
  </si>
  <si>
    <t>Mettre en avant des bonus écologiques plutôt que des remises standard</t>
  </si>
  <si>
    <t>Suivi des subventions RSE perçues et à percevoir</t>
  </si>
  <si>
    <t>Constatez-vous un niveau de surstockage ou de pertes ?</t>
  </si>
  <si>
    <t>Avez-vous des solutions pour valoriser les invendus ?</t>
  </si>
  <si>
    <t>Travaillez-vous sur l'optimisation des volumes de stockage ?</t>
  </si>
  <si>
    <t>Avez-vous identifié des matières premières problématiques ?</t>
  </si>
  <si>
    <t>Quel est votre taux de rotation des stocks ?</t>
  </si>
  <si>
    <t>Surstockage récurrent</t>
  </si>
  <si>
    <t>Matières premières à fort impact environnemental</t>
  </si>
  <si>
    <t>Gaspillage et invendus importants</t>
  </si>
  <si>
    <t>Obsolescence des produits stockés</t>
  </si>
  <si>
    <t>Espace de stockage mal optimisé</t>
  </si>
  <si>
    <t>Diagnostic de l'empreinte écologique du stock</t>
  </si>
  <si>
    <t>Aide à la gestion prévisionnelle des approvisionnements</t>
  </si>
  <si>
    <t>Valorisation des invendus (réemploi, don, recyclage)</t>
  </si>
  <si>
    <t>Recommandation de produits alternatifs</t>
  </si>
  <si>
    <t>Optimisation des espaces de stockage</t>
  </si>
  <si>
    <t>Avez-vous une politique interne de gestion des déplacements ?</t>
  </si>
  <si>
    <t>Quel % de votre flotte est électrique/hybride ?</t>
  </si>
  <si>
    <t>Les collaborateurs utilisent-ils des transports doux ?</t>
  </si>
  <si>
    <t>Avez-vous mesuré l'impact carbone de vos déplacements ?</t>
  </si>
  <si>
    <t>Le télétravail est-il pratiqué dans votre entreprise ?</t>
  </si>
  <si>
    <t>Parc de véhicules diesel ancien</t>
  </si>
  <si>
    <t>Déplacements fréquents non optimisés</t>
  </si>
  <si>
    <t>Frais de déplacement très élevés</t>
  </si>
  <si>
    <t>Aucune politique de mobilité responsable</t>
  </si>
  <si>
    <t>Absence d'incitation aux transports doux</t>
  </si>
  <si>
    <t>Évaluation de l'empreinte carbone des déplacements</t>
  </si>
  <si>
    <t>Plan de conversion véhicules électriques</t>
  </si>
  <si>
    <t>Mise en place d'un barème kilométrique vert</t>
  </si>
  <si>
    <t>Développement du télétravail</t>
  </si>
  <si>
    <t>Forfait mobilité durable pour les salariés</t>
  </si>
  <si>
    <t>Disposez-vous de données sur vos consommations ?</t>
  </si>
  <si>
    <t>Avez-vous un suivi des déchets générés ?</t>
  </si>
  <si>
    <t>Quelles actions d'économie d'énergie avez-vous mis en place ?</t>
  </si>
  <si>
    <t>Quel est votre budget annuel énergie/eau ?</t>
  </si>
  <si>
    <t>Avez-vous des objectifs de réduction ?</t>
  </si>
  <si>
    <t>Aucune mesure des consommations</t>
  </si>
  <si>
    <t>Coûts énergétiques croissants non maîtrisés</t>
  </si>
  <si>
    <t>Mauvaise gestion des déchets</t>
  </si>
  <si>
    <t>Absence de tri sélectif</t>
  </si>
  <si>
    <t>Consommation d'eau excessive</t>
  </si>
  <si>
    <t>Mise en place d'un tableau de bord environnemental</t>
  </si>
  <si>
    <t>Partenariat avec un énergéticien spécialisé</t>
  </si>
  <si>
    <t>Optimisation de la facturation énergétique</t>
  </si>
  <si>
    <t>Accompagnement au tri et recyclage</t>
  </si>
  <si>
    <t>Installation de systèmes de mesure intelligents</t>
  </si>
  <si>
    <t>Avez-vous bénéficié de financements verts ?</t>
  </si>
  <si>
    <t>Votre trésorerie est-elle placée de manière responsable ?</t>
  </si>
  <si>
    <t>Anticipez-vous des investissements liés à la transition ?</t>
  </si>
  <si>
    <t>Connaissez-vous les aides disponibles (ADEME, région...) ?</t>
  </si>
  <si>
    <t>Avez-vous évalué les risques climat sur votre modèle économique ?</t>
  </si>
  <si>
    <t>Aucun recours aux financements durables</t>
  </si>
  <si>
    <t>Trésorerie inutilisée pour investissements verts</t>
  </si>
  <si>
    <t>Stratégie financière déconnectée de la durabilité</t>
  </si>
  <si>
    <t>Placements non alignés avec des critères ESG</t>
  </si>
  <si>
    <t>Manque de visibilité sur les aides disponibles</t>
  </si>
  <si>
    <t>Identification des subventions vertes</t>
  </si>
  <si>
    <t>Recherche de financements à impact</t>
  </si>
  <si>
    <t>Simulation de ROI écologique</t>
  </si>
  <si>
    <t>Conseil en placements responsables</t>
  </si>
  <si>
    <t>Intégration des critères ESG dans la stratégie financière</t>
  </si>
  <si>
    <t>Avez-vous intégré des critères RSE dans votre politique RH ?</t>
  </si>
  <si>
    <t>Proposez-vous des formations sur les enjeux environnementaux ?</t>
  </si>
  <si>
    <t>Quelles incitations aux comportements écoresponsables ?</t>
  </si>
  <si>
    <t>Le télétravail est-il pratiqué pour réduire les déplacements ?</t>
  </si>
  <si>
    <t>Avez-vous désigné un référent RSE ?</t>
  </si>
  <si>
    <t>Absence de politique RH durable</t>
  </si>
  <si>
    <t>Salariés non formés aux enjeux environnementaux</t>
  </si>
  <si>
    <t>Mobilité domicile-travail non optimisée</t>
  </si>
  <si>
    <t>Aucune incitation aux bonnes pratiques</t>
  </si>
  <si>
    <t>Turn-over élevé dans les métiers verts</t>
  </si>
  <si>
    <t>Élaboration d'une charte RH durable</t>
  </si>
  <si>
    <t>Programme de formation environnementale</t>
  </si>
  <si>
    <t>Mise en place d'un référent RSE</t>
  </si>
  <si>
    <t>Forfait mobilité durable</t>
  </si>
  <si>
    <t>Intégration des critères RSE dans les entretiens</t>
  </si>
  <si>
    <t>Quel pourcentage de vos emballages est recyclable ?</t>
  </si>
  <si>
    <t>Avez-vous étudié des solutions d'emballage réutilisables ?</t>
  </si>
  <si>
    <t>Subissez-vous des coûts liés à la taxe sur les emballages ?</t>
  </si>
  <si>
    <t>Vos clients exigent-ils des emballages écologiques ?</t>
  </si>
  <si>
    <t>Avez-vous calculé votre bilan carbone emballages ?</t>
  </si>
  <si>
    <t>Emballages non recyclables</t>
  </si>
  <si>
    <t>Surcharges réglementaires</t>
  </si>
  <si>
    <t>Coûts de traitement élevés</t>
  </si>
  <si>
    <t>Image écologique dégradée</t>
  </si>
  <si>
    <t>Manque d'alternatives identifiées</t>
  </si>
  <si>
    <t>Audit des flux d'emballages</t>
  </si>
  <si>
    <t>Optimisation des formats</t>
  </si>
  <si>
    <t>Recherche de solutions biosourcées</t>
  </si>
  <si>
    <t>Négociation avec les fournisseurs</t>
  </si>
  <si>
    <t>Calcul du ROI des alternatives</t>
  </si>
  <si>
    <t>Quelles sont vos principales préoccupations environnementales ?</t>
  </si>
  <si>
    <t>Avez-vous identifié des risques climatiques pour votre activité ?</t>
  </si>
  <si>
    <t>Disposez-vous d'une personne en charge des questions RSE ?</t>
  </si>
  <si>
    <t>Avez-vous établi un diagnostic de votre empreinte environnementale ?</t>
  </si>
  <si>
    <t>Quels seraient vos besoins prioritaires en accompagnement ?</t>
  </si>
  <si>
    <t>Avez-vous défini des objectifs de réduction d'impact ?</t>
  </si>
  <si>
    <t>Manque de données et indicateurs</t>
  </si>
  <si>
    <t>Absence de stratégie formalisée</t>
  </si>
  <si>
    <t>Réglementations mal anticipées</t>
  </si>
  <si>
    <t>Communication insuffisante en interne</t>
  </si>
  <si>
    <t>Budget dédié inexistant</t>
  </si>
  <si>
    <t>Mise en place d'un système de mesure</t>
  </si>
  <si>
    <t>Élaboration d'une feuille de route RSE</t>
  </si>
  <si>
    <t>Veille réglementaire partagée</t>
  </si>
  <si>
    <t>Campagne de sensibilisation interne</t>
  </si>
  <si>
    <t>Création d'un budget transition</t>
  </si>
  <si>
    <t>Ord</t>
  </si>
  <si>
    <t>Prefix</t>
  </si>
  <si>
    <t>Reading</t>
  </si>
  <si>
    <t>Question</t>
  </si>
  <si>
    <t>Suggestion</t>
  </si>
  <si>
    <t>Investissement en matériel industriel - vérifier l'efficience énergétique</t>
  </si>
  <si>
    <t>Avez-vous considéré des équipements à meilleure performance énergétique?</t>
  </si>
  <si>
    <t>Étudier les aides pour l'achat d'équipements verts</t>
  </si>
  <si>
    <t>Investissement en matériel de transport - opportunité pour véhicules propres</t>
  </si>
  <si>
    <t>Pourriez-vous intégrer des véhicules électriques ou hybrides?</t>
  </si>
  <si>
    <t>Bénéficiez du bonus écologique pour les véhicules propres</t>
  </si>
  <si>
    <t>Relations avec les fournisseurs - opportunité d'achats responsables</t>
  </si>
  <si>
    <t>Avez-vous mis en place une politique d'achats responsables?</t>
  </si>
  <si>
    <t>Évaluer l'empreinte environnementale des principaux fournisseurs</t>
  </si>
  <si>
    <t>Relations clients - sensibilité aux critères RSE</t>
  </si>
  <si>
    <t>Vos clients vous sollicitent-ils sur des critères environnementaux?</t>
  </si>
  <si>
    <t>Développer des arguments écologiques pour vos produits/services</t>
  </si>
  <si>
    <t>Gestion des stocks - risque de gaspillage ou surstockage</t>
  </si>
  <si>
    <t>Constatez-vous un niveau de surstockage ou de pertes?</t>
  </si>
  <si>
    <t>Mettre en place des solutions de valorisation des invendus</t>
  </si>
  <si>
    <t>Stocks de matières premières - impact environnemental</t>
  </si>
  <si>
    <t>Avez-vous évalué l'empreinte écologique de vos matières premières ?</t>
  </si>
  <si>
    <t>Étudier des alternatives plus durables</t>
  </si>
  <si>
    <t>Stocks de fournitures - gestion durable</t>
  </si>
  <si>
    <t>Pourriez-vous réduire les emballages à usage unique ?</t>
  </si>
  <si>
    <t>Mettre en place un système de consigne</t>
  </si>
  <si>
    <t>Frais de déplacement - impact environnemental</t>
  </si>
  <si>
    <t>Avez-vous une politique de gestion des déplacements?</t>
  </si>
  <si>
    <t>Envisager des mobilités alternatives (véhicules hybrides, télétravail)</t>
  </si>
  <si>
    <t>Consommations énergétiques - potentiel d'économie</t>
  </si>
  <si>
    <t>Disposez-vous de données sur vos consommations d'énergie?</t>
  </si>
  <si>
    <t>Mettre en place des actions d'économie d'énergie</t>
  </si>
  <si>
    <t>Financement - opportunité de solutions vertes</t>
  </si>
  <si>
    <t>Avez-vous bénéficié de prêts ou subventions liés à l'écologie?</t>
  </si>
  <si>
    <t>Explorer les solutions de financement vert (emprunts à impact, subventions)</t>
  </si>
  <si>
    <t>Consommation d'emballages - potentiel de réduction</t>
  </si>
  <si>
    <t>Avez-vous envisagé des solutions d'emballages réutilisables?</t>
  </si>
  <si>
    <t>Mettre en place une politique d'emballages durables</t>
  </si>
  <si>
    <t>Cycle</t>
  </si>
  <si>
    <t>charges</t>
  </si>
  <si>
    <t>services</t>
  </si>
  <si>
    <t>fiscal</t>
  </si>
  <si>
    <t>financier</t>
  </si>
  <si>
    <t>autres</t>
  </si>
  <si>
    <t>Intégrateur de balance comptable</t>
  </si>
  <si>
    <t>Nom du client :</t>
  </si>
  <si>
    <t>Email du client :</t>
  </si>
  <si>
    <t>Année (N) à analyser :</t>
  </si>
  <si>
    <t>Deux façons d'importer :_x000D_1) Bouton ci-dessous : choisir un fichier .xlsx/.xls/.csv - les colonnes Compte/Libellé/années sont détectées automatiquement (PC uniquement, nécessite les macros)._x000D_2) Coller directement vos données dans l'onglet 'Données' (colonnes Compte/Libellé/Année N-1/Année N) - fonctionne partout, y compris sans macro.</t>
  </si>
  <si>
    <t>Données de balance</t>
  </si>
  <si>
    <t>Collez ici vos comptes dans les colonnes Compte / Libellé / Année N-1 / Année N (ou utilisez le bouton "Choisir un fichier..." sur l'onglet Import). Les colonnes Variation, Cycle, Lecture écologique, Question et Suggestion se remplissent automatiquement. Collez les numéros de compte en texte (pas en nombre) pour conserver les zéros de tête.</t>
  </si>
  <si>
    <t>Compte</t>
  </si>
  <si>
    <t>Libellé</t>
  </si>
  <si>
    <t>Année N-1</t>
  </si>
  <si>
    <t>Année N</t>
  </si>
  <si>
    <t>Variation (€)</t>
  </si>
  <si>
    <t>Variation (%)</t>
  </si>
  <si>
    <t>Lecture écologique</t>
  </si>
  <si>
    <t>Question à poser</t>
  </si>
  <si>
    <t>Synthèse par cycle écologique</t>
  </si>
  <si>
    <t>Constats</t>
  </si>
  <si>
    <t>Questions à poser</t>
  </si>
  <si>
    <t>Actions proposées</t>
  </si>
  <si>
    <t>- Équipements anciens/énergivores_x000D_- Bâtiment mal isolé ou non rénové_x000D_- Absence de suivi des consommations énergétiques_x000D_- Sortie d'immobilisation : la question du recyclage des sorties et des déchets dangereux_x000D_- Entrée d'immobilisation : non analyse d'impact écologique avant le choix et l'achat</t>
  </si>
  <si>
    <t>- Avez-vous identifié des équipements obsolètes ou énergivores ?_x000D_- Certains matériels sont-ils concernés par des normes environnementales spécifiques ?_x000D_- Des réflexions sont-elles en cours sur la rénovation énergétique des bâtiments ?_x000D_- Avez-vous envisagé des aides pour financer des investissements "verts" ?</t>
  </si>
  <si>
    <t>- Audit énergétique avec partenaire certifié_x000D_- Aide aux financements ADEME/Bpifrance_x000D_- Plan de rénovation thermique_x000D_- Programme de remplacement progressif des équipements_x000D_- Investissements dans des immobilisations durables</t>
  </si>
  <si>
    <t>- Concentration des achats sur quelques fournisseurs → dépendance_x000D_- Dépendance aux carburants fossiles (Gasoil, Essence, GAZ)_x000D_- Si B100, Difficulté à vérifier la traçabilité des huiles végétales utilisées_x000D_- Achats d'équipement à fort impact environnemental (Pneumatiques)_x000D_- Emballages parfois non recyclable et des quantités non suivies précisément_x000D_- Risque de dépendance d'un sous-traitant non écologique_x000D_- Sélection d'un assureur sans prise en compte des critères RSE_x000D_- Location de matériel ou locaux sans évaluation énergétique_x000D_- Dépenses élevées en déplacements (train, avion, voiture)</t>
  </si>
  <si>
    <t>- Avons-nous une cartographie fournisseurs intégrant le risque RSE ?_x000D_- Suivez-vous la consommation par véhicule / par conducteur ?_x000D_- Quelle est l'origine de notre B100 (traçabilité, certifications durables) ?_x000D_- Avons-nous évalué la possibilité de souscrire à de l'énergie renouvelable ?_x000D_- Vos pneus usagés sont-ils recyclés ? Vos fournisseurs proposent-ils des alternatives recyclables ?_x000D_- Peut-on réduire le volume global d'emballages ?_x000D_- Connaissez-vous l'empreinte sociale et environnementale de vos sous-traitants ?_x000D_- Les assureurs valorisent-ils une flotte bas carbone ? Comparez-vous régulièrement les offres ?_x000D_- Les bâtiments loués respectent-ils les normes environnementales (DPE, HQE) ?_x000D_- Existe-t-il des alternatives plus responsables (coworking, logistique partagée) ?_x000D_- Existe-t-il une politique interne de mobilité durable ?</t>
  </si>
  <si>
    <t>- Déploiement d'une politique d'achats responsables (charte fournisseurs, critères ESG)_x000D_- Mettre en place un tableau de bord carburant (litres/km)_x000D_- Former les conducteurs à l'éco-conduite_x000D_- Diversifier l'approvisionnement en carburants alternatifs (BioGNV, électrique)_x000D_- Lancer un plan de renouvellement du parc léger_x000D_- Intégrer la rechapage/recyclage dans la politique d'achat_x000D_- Négocier la réduction des emballages superflus_x000D_- Cartographier les sous-traitants et intégrer des critères écologiques dans le choix_x000D_- Lancer un appel d'offres assurance intégrant des critères durables_x000D_- Négocier des bonus "flotte écoresponsable"_x000D_- Renégocier ou transférer vers des sites plus performants énergétiquement_x000D_- Réduire les locations temporaires par optimisation interne_x000D_- Mettre en place une politique de mobilité durable (priorité au train vs avion, encouragement au covoiturage, remboursement vélo)</t>
  </si>
  <si>
    <t>- Dépendance à quelques gros clients_x000D_- CA fortement dépendant d'une clientèle concentrée (risque de dépendance)_x000D_- Pas de différenciation tarifaire "bas carbone"_x000D_- Réductions commerciales peu reliées à une stratégie commerciale durable_x000D_- Subventions perçues (CEE, aides ADEME) non mises en avant</t>
  </si>
  <si>
    <t>- Quelle part du CA est réalisée avec des clients sensibles aux enjeux durables ?_x000D_- Vos clients demandent-ils des reporting carbone ?_x000D_- Pouvons-nous proposer une offre "durable" avec surcoût accepté ?_x000D_- Quelle part du CA est liée aux marchés publics (souvent sensibles au critère RSE) ?_x000D_- Ces remises sont-elles liées uniquement au volume, ou à des comportements vertueux (ex. engagement durable du client) ?_x000D_- Avons-nous recensé toutes les aides/subventions "durabilité" disponibles ?</t>
  </si>
  <si>
    <t>- Développer une offre bas carbone pour fidéliser et conquérir les clients "verts"_x000D_- Développer une offre commerciale bas carbone_x000D_- Segmenter le portefeuille clients (clients sensibles au durable vs non sensibles)_x000D_- Conditionner certaines remises à des engagements RSE clients (utilisation de solutions bas carbone, fidélité dans les flux durables)_x000D_- Mettre en avant des bonus écologiques plutôt que des remises standard_x000D_- Suivi des subventions RSE perçues et à percevoir</t>
  </si>
  <si>
    <t>- Surstockage récurrent_x000D_- Matières premières à fort impact environnemental_x000D_- Gaspillage et invendus importants_x000D_- Obsolescence des produits stockés_x000D_- Espace de stockage mal optimisé</t>
  </si>
  <si>
    <t>- Constatez-vous un niveau de surstockage ou de pertes ?_x000D_- Avez-vous des solutions pour valoriser les invendus ?_x000D_- Travaillez-vous sur l'optimisation des volumes de stockage ?_x000D_- Avez-vous identifié des matières premières problématiques ?_x000D_- Quel est votre taux de rotation des stocks ?</t>
  </si>
  <si>
    <t>- Diagnostic de l'empreinte écologique du stock_x000D_- Aide à la gestion prévisionnelle des approvisionnements_x000D_- Valorisation des invendus (réemploi, don, recyclage)_x000D_- Recommandation de produits alternatifs_x000D_- Optimisation des espaces de stockage</t>
  </si>
  <si>
    <t>- Parc de véhicules diesel ancien_x000D_- Déplacements fréquents non optimisés_x000D_- Frais de déplacement très élevés_x000D_- Aucune politique de mobilité responsable_x000D_- Absence d'incitation aux transports doux</t>
  </si>
  <si>
    <t>- Avez-vous une politique interne de gestion des déplacements ?_x000D_- Quel % de votre flotte est électrique/hybride ?_x000D_- Les collaborateurs utilisent-ils des transports doux ?_x000D_- Avez-vous mesuré l'impact carbone de vos déplacements ?_x000D_- Le télétravail est-il pratiqué dans votre entreprise ?</t>
  </si>
  <si>
    <t>- Évaluation de l'empreinte carbone des déplacements_x000D_- Plan de conversion véhicules électriques_x000D_- Mise en place d'un barème kilométrique vert_x000D_- Développement du télétravail_x000D_- Forfait mobilité durable pour les salariés</t>
  </si>
  <si>
    <t>- Aucune mesure des consommations_x000D_- Coûts énergétiques croissants non maîtrisés_x000D_- Mauvaise gestion des déchets_x000D_- Absence de tri sélectif_x000D_- Consommation d'eau excessive</t>
  </si>
  <si>
    <t>- Disposez-vous de données sur vos consommations ?_x000D_- Avez-vous un suivi des déchets générés ?_x000D_- Quelles actions d'économie d'énergie avez-vous mis en place ?_x000D_- Quel est votre budget annuel énergie/eau ?_x000D_- Avez-vous des objectifs de réduction ?</t>
  </si>
  <si>
    <t>- Mise en place d'un tableau de bord environnemental_x000D_- Partenariat avec un énergéticien spécialisé_x000D_- Optimisation de la facturation énergétique_x000D_- Accompagnement au tri et recyclage_x000D_- Installation de systèmes de mesure intelligents</t>
  </si>
  <si>
    <t>- Aucun recours aux financements durables_x000D_- Trésorerie inutilisée pour investissements verts_x000D_- Stratégie financière déconnectée de la durabilité_x000D_- Placements non alignés avec des critères ESG_x000D_- Manque de visibilité sur les aides disponibles</t>
  </si>
  <si>
    <t>- Avez-vous bénéficié de financements verts ?_x000D_- Votre trésorerie est-elle placée de manière responsable ?_x000D_- Anticipez-vous des investissements liés à la transition ?_x000D_- Connaissez-vous les aides disponibles (ADEME, région...) ?_x000D_- Avez-vous évalué les risques climat sur votre modèle économique ?</t>
  </si>
  <si>
    <t>- Identification des subventions vertes_x000D_- Recherche de financements à impact_x000D_- Simulation de ROI écologique_x000D_- Conseil en placements responsables_x000D_- Intégration des critères ESG dans la stratégie financière</t>
  </si>
  <si>
    <t>- Absence de politique RH durable_x000D_- Salariés non formés aux enjeux environnementaux_x000D_- Mobilité domicile-travail non optimisée_x000D_- Aucune incitation aux bonnes pratiques_x000D_- Turn-over élevé dans les métiers verts</t>
  </si>
  <si>
    <t>- Avez-vous intégré des critères RSE dans votre politique RH ?_x000D_- Proposez-vous des formations sur les enjeux environnementaux ?_x000D_- Quelles incitations aux comportements écoresponsables ?_x000D_- Le télétravail est-il pratiqué pour réduire les déplacements ?_x000D_- Avez-vous désigné un référent RSE ?</t>
  </si>
  <si>
    <t>- Élaboration d'une charte RH durable_x000D_- Programme de formation environnementale_x000D_- Mise en place d'un référent RSE_x000D_- Forfait mobilité durable_x000D_- Intégration des critères RSE dans les entretiens</t>
  </si>
  <si>
    <t>- Emballages non recyclables_x000D_- Surcharges réglementaires_x000D_- Coûts de traitement élevés_x000D_- Image écologique dégradée_x000D_- Manque d'alternatives identifiées</t>
  </si>
  <si>
    <t>- Quel pourcentage de vos emballages est recyclable ?_x000D_- Avez-vous étudié des solutions d'emballage réutilisables ?_x000D_- Subissez-vous des coûts liés à la taxe sur les emballages ?_x000D_- Vos clients exigent-ils des emballages écologiques ?_x000D_- Avez-vous calculé votre bilan carbone emballages ?</t>
  </si>
  <si>
    <t>- Audit des flux d'emballages_x000D_- Optimisation des formats_x000D_- Recherche de solutions biosourcées_x000D_- Négociation avec les fournisseurs_x000D_- Calcul du ROI des alternatives</t>
  </si>
  <si>
    <t>Autres comptes</t>
  </si>
  <si>
    <t>- Manque de données et indicateurs_x000D_- Absence de stratégie formalisée_x000D_- Réglementations mal anticipées_x000D_- Communication insuffisante en interne_x000D_- Budget dédié inexistant</t>
  </si>
  <si>
    <t>- Quelles sont vos principales préoccupations environnementales ?_x000D_- Avez-vous identifié des risques climatiques pour votre activité ?_x000D_- Disposez-vous d'une personne en charge des questions RSE ?_x000D_- Avez-vous établi un diagnostic de votre empreinte environnementale ?_x000D_- Quels seraient vos besoins prioritaires en accompagnement ?_x000D_- Avez-vous défini des objectifs de réduction d'impact ?</t>
  </si>
  <si>
    <t>- Mise en place d'un système de mesure_x000D_- Élaboration d'une feuille de route RSE_x000D_- Veille réglementaire partagée_x000D_- Campagne de sensibilisation interne_x000D_- Création d'un budget transition</t>
  </si>
  <si>
    <t>Pour le détail compte par compte de chaque cycle : onglet 'Données', filtrez la colonne Cycle. Pour un PDF : Fichier -&gt; Exporter -&gt; Créer un PDF/XPS.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</si>
</sst>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0"/>
      <color theme="1"/>
      <name val="Segoe UI"/>
      <family val="2"/>
    </font>
    <font>
      <b/>
      <sz val="10"/>
      <color theme="1"/>
      <name val="Segoe UI"/>
      <family val="2"/>
    </font>
    <font>
      <b/>
      <sz val="10"/>
      <color rgb="FFFFFFFF"/>
      <name val="Segoe UI"/>
      <family val="2"/>
    </font>
    <font>
      <b/>
      <sz val="12"/>
      <color rgb="FFFFFFFF"/>
      <name val="Segoe UI"/>
      <family val="2"/>
    </font>
    <font>
      <sz val="9.5"/>
      <color rgb="FF495057"/>
      <name val="Segoe UI"/>
      <family val="2"/>
    </font>
    <font>
      <sz val="9.5"/>
      <color rgb="FF02131B"/>
      <name val="Segoe UI"/>
      <family val="2"/>
    </font>
    <font>
      <b/>
      <sz val="11"/>
      <color rgb="FFFFFFFF"/>
      <name val="Segoe UI"/>
      <family val="2"/>
    </font>
    <font>
      <b/>
      <sz val="10"/>
      <color rgb="FF02131B"/>
      <name val="Segoe UI"/>
      <family val="2"/>
    </font>
    <font>
      <sz val="9"/>
      <color rgb="FF02131B"/>
      <name val="Segoe UI"/>
      <family val="2"/>
    </font>
    <font>
      <u/>
      <sz val="11"/>
      <color theme="10"/>
      <name val="Calibri"/>
      <family val="2"/>
      <scheme val="minor"/>
    </font>
    <font>
      <sz val="9"/>
      <color rgb="FF6C757D"/>
      <name val="Segoe UI"/>
      <family val="2"/>
    </font>
  </fonts>
  <fills count="5">
    <fill>
      <patternFill patternType="none"/>
    </fill>
    <fill>
      <patternFill patternType="gray125"/>
    </fill>
    <fill>
      <patternFill patternType="solid">
        <fgColor rgb="FF055C2C"/>
        <bgColor indexed="64"/>
      </patternFill>
    </fill>
    <fill>
      <patternFill patternType="solid">
        <fgColor rgb="FFF8F9FA"/>
        <bgColor indexed="64"/>
      </patternFill>
    </fill>
    <fill>
      <patternFill patternType="solid">
        <fgColor rgb="FF033D1D"/>
        <bgColor indexed="64"/>
      </patternFill>
    </fill>
  </fills>
  <borders count="2">
    <border>
      <left/>
      <right/>
      <top/>
      <bottom/>
      <diagonal/>
    </border>
    <border>
      <left style="thin">
        <color rgb="FFDEE2E6"/>
      </left>
      <right style="thin">
        <color rgb="FFDEE2E6"/>
      </right>
      <top style="thin">
        <color rgb="FFDEE2E6"/>
      </top>
      <bottom style="thin">
        <color rgb="FFDEE2E6"/>
      </bottom>
      <diagonal/>
    </border>
  </borders>
  <cellStyleXfs count="2">
    <xf numFmtId="0" fontId="0" fillId="0" borderId="0"/>
    <xf numFmtId="0" fontId="10" fillId="0" borderId="0" applyNumberFormat="0" applyFill="0" applyBorder="0" applyAlignment="0" applyProtection="0"/>
  </cellStyleXfs>
  <cellXfs count="18">
    <xf numFmtId="0" fontId="0" fillId="0" borderId="0" xfId="0"/>
    <xf numFmtId="0" fontId="1" fillId="0" borderId="0" xfId="0" applyFont="1"/>
    <xf numFmtId="0" fontId="2" fillId="0" borderId="0" xfId="0" applyFont="1"/>
    <xf numFmtId="0" fontId="1" fillId="2" borderId="0" xfId="0" applyFont="1" applyFill="1"/>
    <xf numFmtId="0" fontId="4" fillId="2" borderId="0" xfId="0" applyFont="1" applyFill="1" applyAlignment="1">
      <alignment horizontal="left" vertical="center"/>
    </xf>
    <xf numFmtId="0" fontId="2" fillId="0" borderId="0" xfId="0" applyFont="1" applyAlignment="1">
      <alignment horizontal="left" vertical="center"/>
    </xf>
    <xf numFmtId="0" fontId="1" fillId="3" borderId="1" xfId="0" applyFont="1" applyFill="1" applyBorder="1" applyProtection="1">
      <protection locked="0"/>
    </xf>
    <xf numFmtId="0" fontId="1" fillId="3" borderId="1" xfId="0" applyFont="1" applyFill="1" applyBorder="1" applyAlignment="1" applyProtection="1">
      <alignment horizontal="center"/>
      <protection locked="0"/>
    </xf>
    <xf numFmtId="0" fontId="5" fillId="3" borderId="0" xfId="0" applyFont="1" applyFill="1" applyAlignment="1">
      <alignment horizontal="left" vertical="top" wrapText="1"/>
    </xf>
    <xf numFmtId="0" fontId="6" fillId="0" borderId="0" xfId="0" applyFont="1" applyAlignment="1">
      <alignment horizontal="left" vertical="top" wrapText="1"/>
    </xf>
    <xf numFmtId="0" fontId="3" fillId="2" borderId="0" xfId="0" applyFont="1" applyFill="1" applyAlignment="1">
      <alignment horizontal="left" vertical="center"/>
    </xf>
    <xf numFmtId="0" fontId="1" fillId="0" borderId="0" xfId="0" applyFont="1" applyProtection="1">
      <protection locked="0"/>
    </xf>
    <xf numFmtId="49" fontId="1" fillId="0" borderId="0" xfId="0" applyNumberFormat="1" applyFont="1" applyProtection="1">
      <protection locked="0"/>
    </xf>
    <xf numFmtId="0" fontId="7" fillId="4" borderId="0" xfId="0" applyFont="1" applyFill="1" applyAlignment="1">
      <alignment horizontal="left" vertical="center"/>
    </xf>
    <xf numFmtId="0" fontId="8" fillId="0" borderId="0" xfId="0" applyFont="1" applyAlignment="1">
      <alignment horizontal="left" vertical="center"/>
    </xf>
    <xf numFmtId="0" fontId="9" fillId="3" borderId="0" xfId="0" applyFont="1" applyFill="1" applyAlignment="1">
      <alignment horizontal="left" vertical="top" wrapText="1"/>
    </xf>
    <xf numFmtId="0" fontId="10" fillId="2" borderId="0" xfId="1" applyFill="1" applyAlignment="1">
      <alignment horizontal="center" vertical="center" wrapText="1"/>
    </xf>
    <xf numFmtId="0" fontId="11" fillId="0" borderId="0" xfId="0" applyFont="1" applyAlignment="1">
      <alignment horizontal="left" vertical="top"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_rels/drawing2.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_rels/drawing3.xml.rels><?xml version="1.0" encoding="UTF-8" standalone="yes"?>
<Relationships xmlns="http://schemas.openxmlformats.org/package/2006/relationships"><Relationship Id="rId3" Type="http://schemas.openxmlformats.org/officeDocument/2006/relationships/hyperlink" Target="#'Balance_Data'!B4"/><Relationship Id="rId2" Type="http://schemas.openxmlformats.org/officeDocument/2006/relationships/hyperlink" Target="#'Balance_Import'!B4"/><Relationship Id="rId1" Type="http://schemas.openxmlformats.org/officeDocument/2006/relationships/image" Target="../media/image1.jpeg"/><Relationship Id="rId4" Type="http://schemas.openxmlformats.org/officeDocument/2006/relationships/hyperlink" Target="#'Balance_Analyse'!B4"/></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297E12EB-46DA-A5C5-B64A-D1B2EA7A944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A0BBB70F-1954-9F86-9D05-BA532A452739}"/>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F8C5D781-02FF-449F-CA84-6B897591809F}"/>
            </a:ext>
          </a:extLst>
        </xdr:cNvPr>
        <xdr:cNvSpPr/>
      </xdr:nvSpPr>
      <xdr:spPr>
        <a:xfrm>
          <a:off x="35560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7BA0C48B-BF14-8795-F998-22184A813CEE}"/>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CAC7EEE2-2150-9687-9509-B364D2267A17}"/>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twoCellAnchor>
    <xdr:from>
      <xdr:col>1</xdr:col>
      <xdr:colOff>0</xdr:colOff>
      <xdr:row>19</xdr:row>
      <xdr:rowOff>0</xdr:rowOff>
    </xdr:from>
    <xdr:to>
      <xdr:col>5</xdr:col>
      <xdr:colOff>213360</xdr:colOff>
      <xdr:row>21</xdr:row>
      <xdr:rowOff>50800</xdr:rowOff>
    </xdr:to>
    <xdr:sp macro="modBalance.ImporterBalance" textlink="">
      <xdr:nvSpPr>
        <xdr:cNvPr id="8" name="Rectangle : coins arrondis 7">
          <a:extLst>
            <a:ext uri="{FF2B5EF4-FFF2-40B4-BE49-F238E27FC236}">
              <a16:creationId xmlns:a16="http://schemas.microsoft.com/office/drawing/2014/main" id="{3E835D9A-E4E2-BA35-A8BD-DCEE3B52B6D1}"/>
            </a:ext>
          </a:extLst>
        </xdr:cNvPr>
        <xdr:cNvSpPr/>
      </xdr:nvSpPr>
      <xdr:spPr>
        <a:xfrm>
          <a:off x="792480" y="3733800"/>
          <a:ext cx="3048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Choisir un fichier...</a:t>
          </a:r>
          <a:endParaRPr lang="LID4096" sz="1000" b="1">
            <a:solidFill>
              <a:srgbClr val="FFFFFF"/>
            </a:solidFill>
          </a:endParaRPr>
        </a:p>
      </xdr:txBody>
    </xdr:sp>
    <xdr:clientData/>
  </xdr:twoCellAnchor>
  <xdr:twoCellAnchor>
    <xdr:from>
      <xdr:col>5</xdr:col>
      <xdr:colOff>340360</xdr:colOff>
      <xdr:row>19</xdr:row>
      <xdr:rowOff>0</xdr:rowOff>
    </xdr:from>
    <xdr:to>
      <xdr:col>9</xdr:col>
      <xdr:colOff>553720</xdr:colOff>
      <xdr:row>21</xdr:row>
      <xdr:rowOff>50800</xdr:rowOff>
    </xdr:to>
    <xdr:sp macro="" textlink="">
      <xdr:nvSpPr>
        <xdr:cNvPr id="9" name="Rectangle : coins arrondis 8">
          <a:hlinkClick xmlns:r="http://schemas.openxmlformats.org/officeDocument/2006/relationships" r:id="rId3"/>
          <a:extLst>
            <a:ext uri="{FF2B5EF4-FFF2-40B4-BE49-F238E27FC236}">
              <a16:creationId xmlns:a16="http://schemas.microsoft.com/office/drawing/2014/main" id="{31F42D63-609F-F3F0-0B39-62029C63ABE6}"/>
            </a:ext>
          </a:extLst>
        </xdr:cNvPr>
        <xdr:cNvSpPr/>
      </xdr:nvSpPr>
      <xdr:spPr>
        <a:xfrm>
          <a:off x="3967480" y="3733800"/>
          <a:ext cx="3048000" cy="431800"/>
        </a:xfrm>
        <a:prstGeom prst="roundRect">
          <a:avLst/>
        </a:prstGeom>
        <a:solidFill>
          <a:srgbClr val="673A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Coller mes données à la main →</a:t>
          </a:r>
          <a:endParaRPr lang="LID4096" sz="1000" b="1">
            <a:solidFill>
              <a:srgbClr val="FFFFFF"/>
            </a:solidFill>
          </a:endParaRPr>
        </a:p>
      </xdr:txBody>
    </xdr:sp>
    <xdr:clientData/>
  </xdr:twoCellAnchor>
  <xdr:twoCellAnchor>
    <xdr:from>
      <xdr:col>1</xdr:col>
      <xdr:colOff>0</xdr:colOff>
      <xdr:row>26</xdr:row>
      <xdr:rowOff>0</xdr:rowOff>
    </xdr:from>
    <xdr:to>
      <xdr:col>5</xdr:col>
      <xdr:colOff>467360</xdr:colOff>
      <xdr:row>28</xdr:row>
      <xdr:rowOff>50800</xdr:rowOff>
    </xdr:to>
    <xdr:sp macro="" textlink="">
      <xdr:nvSpPr>
        <xdr:cNvPr id="10" name="Rectangle : coins arrondis 9">
          <a:hlinkClick xmlns:r="http://schemas.openxmlformats.org/officeDocument/2006/relationships" r:id="rId4"/>
          <a:extLst>
            <a:ext uri="{FF2B5EF4-FFF2-40B4-BE49-F238E27FC236}">
              <a16:creationId xmlns:a16="http://schemas.microsoft.com/office/drawing/2014/main" id="{7E1B5EE2-6208-2E74-8FC9-BC58C57D6915}"/>
            </a:ext>
          </a:extLst>
        </xdr:cNvPr>
        <xdr:cNvSpPr/>
      </xdr:nvSpPr>
      <xdr:spPr>
        <a:xfrm>
          <a:off x="792480" y="5067300"/>
          <a:ext cx="3302000" cy="431800"/>
        </a:xfrm>
        <a:prstGeom prst="roundRect">
          <a:avLst/>
        </a:prstGeom>
        <a:solidFill>
          <a:srgbClr val="055C2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Voir l'analyse écologique →</a:t>
          </a:r>
          <a:endParaRPr lang="LID4096" sz="10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1</xdr:col>
      <xdr:colOff>266700</xdr:colOff>
      <xdr:row>2</xdr:row>
      <xdr:rowOff>50800</xdr:rowOff>
    </xdr:to>
    <xdr:pic>
      <xdr:nvPicPr>
        <xdr:cNvPr id="3" name="Image 2">
          <a:extLst>
            <a:ext uri="{FF2B5EF4-FFF2-40B4-BE49-F238E27FC236}">
              <a16:creationId xmlns:a16="http://schemas.microsoft.com/office/drawing/2014/main" id="{6703955F-C18B-891A-DBAB-271BC3618BC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3</xdr:col>
      <xdr:colOff>904240</xdr:colOff>
      <xdr:row>2</xdr:row>
      <xdr:rowOff>76200</xdr:rowOff>
    </xdr:to>
    <xdr:sp macro="" textlink="">
      <xdr:nvSpPr>
        <xdr:cNvPr id="4" name="ZoneTexte 3">
          <a:extLst>
            <a:ext uri="{FF2B5EF4-FFF2-40B4-BE49-F238E27FC236}">
              <a16:creationId xmlns:a16="http://schemas.microsoft.com/office/drawing/2014/main" id="{E3C73A35-6D06-1E80-CA71-55F5EE590C6D}"/>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4232D487-2561-156D-34CE-0B2EFEAC8EE0}"/>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571C605D-6F8E-AB4D-263D-971B7A05F4F2}"/>
            </a:ext>
          </a:extLst>
        </xdr:cNvPr>
        <xdr:cNvSpPr/>
      </xdr:nvSpPr>
      <xdr:spPr>
        <a:xfrm>
          <a:off x="54102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BE690844-5089-2E4D-245E-0964E5264B88}"/>
            </a:ext>
          </a:extLst>
        </xdr:cNvPr>
        <xdr:cNvSpPr/>
      </xdr:nvSpPr>
      <xdr:spPr>
        <a:xfrm>
          <a:off x="72644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50800</xdr:rowOff>
    </xdr:from>
    <xdr:to>
      <xdr:col>0</xdr:col>
      <xdr:colOff>457200</xdr:colOff>
      <xdr:row>2</xdr:row>
      <xdr:rowOff>50800</xdr:rowOff>
    </xdr:to>
    <xdr:pic>
      <xdr:nvPicPr>
        <xdr:cNvPr id="3" name="Image 2">
          <a:extLst>
            <a:ext uri="{FF2B5EF4-FFF2-40B4-BE49-F238E27FC236}">
              <a16:creationId xmlns:a16="http://schemas.microsoft.com/office/drawing/2014/main" id="{483A1964-A7E6-85E2-79C8-25A18FA6C4F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50800"/>
          <a:ext cx="381000" cy="381000"/>
        </a:xfrm>
        <a:prstGeom prst="rect">
          <a:avLst/>
        </a:prstGeom>
      </xdr:spPr>
    </xdr:pic>
    <xdr:clientData/>
  </xdr:twoCellAnchor>
  <xdr:twoCellAnchor editAs="oneCell">
    <xdr:from>
      <xdr:col>0</xdr:col>
      <xdr:colOff>533400</xdr:colOff>
      <xdr:row>0</xdr:row>
      <xdr:rowOff>25400</xdr:rowOff>
    </xdr:from>
    <xdr:to>
      <xdr:col>4</xdr:col>
      <xdr:colOff>408940</xdr:colOff>
      <xdr:row>2</xdr:row>
      <xdr:rowOff>76200</xdr:rowOff>
    </xdr:to>
    <xdr:sp macro="" textlink="">
      <xdr:nvSpPr>
        <xdr:cNvPr id="4" name="ZoneTexte 3">
          <a:extLst>
            <a:ext uri="{FF2B5EF4-FFF2-40B4-BE49-F238E27FC236}">
              <a16:creationId xmlns:a16="http://schemas.microsoft.com/office/drawing/2014/main" id="{6ACB1B73-EB2C-31C8-273A-7E5DD5B85EB3}"/>
            </a:ext>
          </a:extLst>
        </xdr:cNvPr>
        <xdr:cNvSpPr txBox="1"/>
      </xdr:nvSpPr>
      <xdr:spPr>
        <a:xfrm>
          <a:off x="533400" y="25400"/>
          <a:ext cx="2794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fr-FR" sz="1400" b="1">
              <a:solidFill>
                <a:srgbClr val="FFFFFF"/>
              </a:solidFill>
            </a:rPr>
            <a:t>Intégrateur de balance</a:t>
          </a:r>
          <a:endParaRPr lang="LID4096" sz="1400" b="1">
            <a:solidFill>
              <a:srgbClr val="FFFFFF"/>
            </a:solidFill>
          </a:endParaRPr>
        </a:p>
      </xdr:txBody>
    </xdr:sp>
    <xdr:clientData/>
  </xdr:twoCellAnchor>
  <xdr:twoCellAnchor>
    <xdr:from>
      <xdr:col>4</xdr:col>
      <xdr:colOff>386080</xdr:colOff>
      <xdr:row>0</xdr:row>
      <xdr:rowOff>50800</xdr:rowOff>
    </xdr:from>
    <xdr:to>
      <xdr:col>6</xdr:col>
      <xdr:colOff>579120</xdr:colOff>
      <xdr:row>2</xdr:row>
      <xdr:rowOff>50800</xdr:rowOff>
    </xdr:to>
    <xdr:sp macro="" textlink="">
      <xdr:nvSpPr>
        <xdr:cNvPr id="5" name="Rectangle : coins arrondis 4">
          <a:hlinkClick xmlns:r="http://schemas.openxmlformats.org/officeDocument/2006/relationships" r:id="rId2"/>
          <a:extLst>
            <a:ext uri="{FF2B5EF4-FFF2-40B4-BE49-F238E27FC236}">
              <a16:creationId xmlns:a16="http://schemas.microsoft.com/office/drawing/2014/main" id="{03943059-13E5-218C-9EC0-6AEFF6F7D50F}"/>
            </a:ext>
          </a:extLst>
        </xdr:cNvPr>
        <xdr:cNvSpPr/>
      </xdr:nvSpPr>
      <xdr:spPr>
        <a:xfrm>
          <a:off x="35560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Import</a:t>
          </a:r>
          <a:endParaRPr lang="LID4096" sz="1000" b="1">
            <a:solidFill>
              <a:srgbClr val="FFFFFF"/>
            </a:solidFill>
          </a:endParaRPr>
        </a:p>
      </xdr:txBody>
    </xdr:sp>
    <xdr:clientData/>
  </xdr:twoCellAnchor>
  <xdr:twoCellAnchor>
    <xdr:from>
      <xdr:col>6</xdr:col>
      <xdr:colOff>655320</xdr:colOff>
      <xdr:row>0</xdr:row>
      <xdr:rowOff>50800</xdr:rowOff>
    </xdr:from>
    <xdr:to>
      <xdr:col>9</xdr:col>
      <xdr:colOff>55880</xdr:colOff>
      <xdr:row>2</xdr:row>
      <xdr:rowOff>50800</xdr:rowOff>
    </xdr:to>
    <xdr:sp macro="" textlink="">
      <xdr:nvSpPr>
        <xdr:cNvPr id="6" name="Rectangle : coins arrondis 5">
          <a:hlinkClick xmlns:r="http://schemas.openxmlformats.org/officeDocument/2006/relationships" r:id="rId3"/>
          <a:extLst>
            <a:ext uri="{FF2B5EF4-FFF2-40B4-BE49-F238E27FC236}">
              <a16:creationId xmlns:a16="http://schemas.microsoft.com/office/drawing/2014/main" id="{6179D491-039E-EDA5-841B-931C0C5408F6}"/>
            </a:ext>
          </a:extLst>
        </xdr:cNvPr>
        <xdr:cNvSpPr/>
      </xdr:nvSpPr>
      <xdr:spPr>
        <a:xfrm>
          <a:off x="5410200" y="50800"/>
          <a:ext cx="1778000" cy="381000"/>
        </a:xfrm>
        <a:prstGeom prst="roundRect">
          <a:avLst/>
        </a:prstGeom>
        <a:solidFill>
          <a:srgbClr val="055C2C"/>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Données</a:t>
          </a:r>
          <a:endParaRPr lang="LID4096" sz="1000" b="1">
            <a:solidFill>
              <a:srgbClr val="FFFFFF"/>
            </a:solidFill>
          </a:endParaRPr>
        </a:p>
      </xdr:txBody>
    </xdr:sp>
    <xdr:clientData/>
  </xdr:twoCellAnchor>
  <xdr:twoCellAnchor>
    <xdr:from>
      <xdr:col>9</xdr:col>
      <xdr:colOff>132080</xdr:colOff>
      <xdr:row>0</xdr:row>
      <xdr:rowOff>50800</xdr:rowOff>
    </xdr:from>
    <xdr:to>
      <xdr:col>11</xdr:col>
      <xdr:colOff>325120</xdr:colOff>
      <xdr:row>2</xdr:row>
      <xdr:rowOff>50800</xdr:rowOff>
    </xdr:to>
    <xdr:sp macro="" textlink="">
      <xdr:nvSpPr>
        <xdr:cNvPr id="7" name="Rectangle : coins arrondis 6">
          <a:hlinkClick xmlns:r="http://schemas.openxmlformats.org/officeDocument/2006/relationships" r:id="rId4"/>
          <a:extLst>
            <a:ext uri="{FF2B5EF4-FFF2-40B4-BE49-F238E27FC236}">
              <a16:creationId xmlns:a16="http://schemas.microsoft.com/office/drawing/2014/main" id="{5665820D-3E70-8AA7-513D-2032B4297D24}"/>
            </a:ext>
          </a:extLst>
        </xdr:cNvPr>
        <xdr:cNvSpPr/>
      </xdr:nvSpPr>
      <xdr:spPr>
        <a:xfrm>
          <a:off x="7264400" y="50800"/>
          <a:ext cx="1778000" cy="381000"/>
        </a:xfrm>
        <a:prstGeom prst="roundRect">
          <a:avLst/>
        </a:prstGeom>
        <a:solidFill>
          <a:srgbClr val="033D1D"/>
        </a:solidFill>
        <a:ln w="9525">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fr-FR" sz="1000" b="1">
              <a:solidFill>
                <a:srgbClr val="FFFFFF"/>
              </a:solidFill>
            </a:rPr>
            <a:t>Analyse</a:t>
          </a:r>
          <a:endParaRPr lang="LID4096" sz="1000" b="1">
            <a:solidFill>
              <a:srgbClr val="FFFFFF"/>
            </a:solidFill>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FD318-F86A-4E4D-BA50-5F6D4812B8D4}">
  <sheetPr codeName="Feuil1"/>
  <dimension ref="A1:N25"/>
  <sheetViews>
    <sheetView showGridLines="0" tabSelected="1" workbookViewId="0"/>
  </sheetViews>
  <sheetFormatPr baseColWidth="10" defaultRowHeight="15" x14ac:dyDescent="0.35"/>
  <cols>
    <col min="1" max="1" width="11.5546875" style="1"/>
    <col min="2" max="13" width="10.33203125" style="1" customWidth="1"/>
    <col min="14"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250</v>
      </c>
      <c r="C4" s="4"/>
      <c r="D4" s="4"/>
      <c r="E4" s="4"/>
      <c r="F4" s="4"/>
      <c r="G4" s="4"/>
      <c r="H4" s="4"/>
      <c r="I4" s="4"/>
      <c r="J4" s="4"/>
      <c r="K4" s="4"/>
      <c r="L4" s="4"/>
      <c r="M4" s="4"/>
    </row>
    <row r="7" spans="1:14" x14ac:dyDescent="0.35">
      <c r="B7" s="5" t="s">
        <v>251</v>
      </c>
      <c r="D7" s="6"/>
      <c r="E7" s="6"/>
      <c r="F7" s="6"/>
      <c r="G7" s="6"/>
    </row>
    <row r="9" spans="1:14" x14ac:dyDescent="0.35">
      <c r="B9" s="5" t="s">
        <v>252</v>
      </c>
      <c r="D9" s="6"/>
      <c r="E9" s="6"/>
      <c r="F9" s="6"/>
      <c r="G9" s="6"/>
    </row>
    <row r="11" spans="1:14" x14ac:dyDescent="0.35">
      <c r="B11" s="5" t="s">
        <v>253</v>
      </c>
      <c r="D11" s="7"/>
    </row>
    <row r="13" spans="1:14" x14ac:dyDescent="0.35">
      <c r="B13" s="8" t="s">
        <v>254</v>
      </c>
      <c r="C13" s="8"/>
      <c r="D13" s="8"/>
      <c r="E13" s="8"/>
      <c r="F13" s="8"/>
      <c r="G13" s="8"/>
      <c r="H13" s="8"/>
      <c r="I13" s="8"/>
      <c r="J13" s="8"/>
      <c r="K13" s="8"/>
      <c r="L13" s="8"/>
      <c r="M13" s="8"/>
    </row>
    <row r="14" spans="1:14" x14ac:dyDescent="0.35">
      <c r="B14" s="8"/>
      <c r="C14" s="8"/>
      <c r="D14" s="8"/>
      <c r="E14" s="8"/>
      <c r="F14" s="8"/>
      <c r="G14" s="8"/>
      <c r="H14" s="8"/>
      <c r="I14" s="8"/>
      <c r="J14" s="8"/>
      <c r="K14" s="8"/>
      <c r="L14" s="8"/>
      <c r="M14" s="8"/>
    </row>
    <row r="15" spans="1:14" x14ac:dyDescent="0.35">
      <c r="B15" s="8"/>
      <c r="C15" s="8"/>
      <c r="D15" s="8"/>
      <c r="E15" s="8"/>
      <c r="F15" s="8"/>
      <c r="G15" s="8"/>
      <c r="H15" s="8"/>
      <c r="I15" s="8"/>
      <c r="J15" s="8"/>
      <c r="K15" s="8"/>
      <c r="L15" s="8"/>
      <c r="M15" s="8"/>
    </row>
    <row r="16" spans="1:14" x14ac:dyDescent="0.35">
      <c r="B16" s="8"/>
      <c r="C16" s="8"/>
      <c r="D16" s="8"/>
      <c r="E16" s="8"/>
      <c r="F16" s="8"/>
      <c r="G16" s="8"/>
      <c r="H16" s="8"/>
      <c r="I16" s="8"/>
      <c r="J16" s="8"/>
      <c r="K16" s="8"/>
      <c r="L16" s="8"/>
      <c r="M16" s="8"/>
    </row>
    <row r="17" spans="2:13" x14ac:dyDescent="0.35">
      <c r="B17" s="8"/>
      <c r="C17" s="8"/>
      <c r="D17" s="8"/>
      <c r="E17" s="8"/>
      <c r="F17" s="8"/>
      <c r="G17" s="8"/>
      <c r="H17" s="8"/>
      <c r="I17" s="8"/>
      <c r="J17" s="8"/>
      <c r="K17" s="8"/>
      <c r="L17" s="8"/>
      <c r="M17" s="8"/>
    </row>
    <row r="18" spans="2:13" x14ac:dyDescent="0.35">
      <c r="B18" s="8"/>
      <c r="C18" s="8"/>
      <c r="D18" s="8"/>
      <c r="E18" s="8"/>
      <c r="F18" s="8"/>
      <c r="G18" s="8"/>
      <c r="H18" s="8"/>
      <c r="I18" s="8"/>
      <c r="J18" s="8"/>
      <c r="K18" s="8"/>
      <c r="L18" s="8"/>
      <c r="M18" s="8"/>
    </row>
    <row r="22" spans="2:13" x14ac:dyDescent="0.35">
      <c r="B22" s="9"/>
      <c r="C22" s="9"/>
      <c r="D22" s="9"/>
      <c r="E22" s="9"/>
      <c r="F22" s="9"/>
      <c r="G22" s="9"/>
      <c r="H22" s="9"/>
      <c r="I22" s="9"/>
      <c r="J22" s="9"/>
      <c r="K22" s="9"/>
      <c r="L22" s="9"/>
      <c r="M22" s="9"/>
    </row>
    <row r="23" spans="2:13" x14ac:dyDescent="0.35">
      <c r="B23" s="9"/>
      <c r="C23" s="9"/>
      <c r="D23" s="9"/>
      <c r="E23" s="9"/>
      <c r="F23" s="9"/>
      <c r="G23" s="9"/>
      <c r="H23" s="9"/>
      <c r="I23" s="9"/>
      <c r="J23" s="9"/>
      <c r="K23" s="9"/>
      <c r="L23" s="9"/>
      <c r="M23" s="9"/>
    </row>
    <row r="24" spans="2:13" x14ac:dyDescent="0.35">
      <c r="B24" s="9"/>
      <c r="C24" s="9"/>
      <c r="D24" s="9"/>
      <c r="E24" s="9"/>
      <c r="F24" s="9"/>
      <c r="G24" s="9"/>
      <c r="H24" s="9"/>
      <c r="I24" s="9"/>
      <c r="J24" s="9"/>
      <c r="K24" s="9"/>
      <c r="L24" s="9"/>
      <c r="M24" s="9"/>
    </row>
    <row r="25" spans="2:13" x14ac:dyDescent="0.35">
      <c r="B25" s="9"/>
      <c r="C25" s="9"/>
      <c r="D25" s="9"/>
      <c r="E25" s="9"/>
      <c r="F25" s="9"/>
      <c r="G25" s="9"/>
      <c r="H25" s="9"/>
      <c r="I25" s="9"/>
      <c r="J25" s="9"/>
      <c r="K25" s="9"/>
      <c r="L25" s="9"/>
      <c r="M25" s="9"/>
    </row>
  </sheetData>
  <mergeCells count="5">
    <mergeCell ref="B4:M4"/>
    <mergeCell ref="D7:G7"/>
    <mergeCell ref="D9:G9"/>
    <mergeCell ref="B13:M18"/>
    <mergeCell ref="B22:M2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5838E-AB63-4747-BB54-161EC5071B5A}">
  <sheetPr codeName="Feuil2"/>
  <dimension ref="A1:N1009"/>
  <sheetViews>
    <sheetView showGridLines="0" workbookViewId="0"/>
  </sheetViews>
  <sheetFormatPr baseColWidth="10" defaultRowHeight="15" x14ac:dyDescent="0.35"/>
  <cols>
    <col min="1" max="1" width="2.77734375" style="1" customWidth="1"/>
    <col min="2" max="11" width="13.77734375" style="1" customWidth="1"/>
    <col min="12" max="12" width="13.77734375" style="1" hidden="1" customWidth="1"/>
    <col min="13"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255</v>
      </c>
      <c r="C4" s="4"/>
      <c r="D4" s="4"/>
      <c r="E4" s="4"/>
      <c r="F4" s="4"/>
      <c r="G4" s="4"/>
      <c r="H4" s="4"/>
      <c r="I4" s="4"/>
      <c r="J4" s="4"/>
      <c r="K4" s="4"/>
    </row>
    <row r="6" spans="1:14" x14ac:dyDescent="0.35">
      <c r="B6" s="8" t="s">
        <v>256</v>
      </c>
      <c r="C6" s="8"/>
      <c r="D6" s="8"/>
      <c r="E6" s="8"/>
      <c r="F6" s="8"/>
      <c r="G6" s="8"/>
      <c r="H6" s="8"/>
      <c r="I6" s="8"/>
      <c r="J6" s="8"/>
      <c r="K6" s="8"/>
    </row>
    <row r="7" spans="1:14" x14ac:dyDescent="0.35">
      <c r="B7" s="8"/>
      <c r="C7" s="8"/>
      <c r="D7" s="8"/>
      <c r="E7" s="8"/>
      <c r="F7" s="8"/>
      <c r="G7" s="8"/>
      <c r="H7" s="8"/>
      <c r="I7" s="8"/>
      <c r="J7" s="8"/>
      <c r="K7" s="8"/>
    </row>
    <row r="9" spans="1:14" x14ac:dyDescent="0.35">
      <c r="B9" s="10" t="s">
        <v>257</v>
      </c>
      <c r="C9" s="10" t="s">
        <v>258</v>
      </c>
      <c r="D9" s="10" t="s">
        <v>259</v>
      </c>
      <c r="E9" s="10" t="s">
        <v>260</v>
      </c>
      <c r="F9" s="10" t="s">
        <v>261</v>
      </c>
      <c r="G9" s="10" t="s">
        <v>262</v>
      </c>
      <c r="H9" s="10" t="s">
        <v>244</v>
      </c>
      <c r="I9" s="10" t="s">
        <v>263</v>
      </c>
      <c r="J9" s="10" t="s">
        <v>264</v>
      </c>
      <c r="K9" s="10" t="s">
        <v>210</v>
      </c>
    </row>
    <row r="10" spans="1:14" x14ac:dyDescent="0.35">
      <c r="B10" s="12"/>
      <c r="C10" s="11"/>
      <c r="D10" s="11"/>
      <c r="E10" s="11"/>
      <c r="F10" s="1" t="str">
        <f>IF($B10="","",E10-D10)</f>
        <v/>
      </c>
      <c r="G10" s="1" t="str">
        <f>IF($B10="","",IF(D10=0,0,(E10-D10)/ABS(D10)*100))</f>
        <v/>
      </c>
      <c r="H10" s="1" t="str">
        <f>IF($B10="","",IF(LEFT($B10,6)="606880","emballages",IF(LEFT($B10,4)="6068","emballages",IF(LEFT($B10,3)="606","energie_dechets",IF(LEFT($B10,3)="164","tresorerie_financement",IF(LEFT($B10,2)="20","immobilisations",IF(LEFT($B10,2)="21","immobilisations",IF(LEFT($B10,2)="22","immobilisations",IF(LEFT($B10,2)="23","immobilisations",IF(LEFT($B10,2)="28","immobilisations",IF(LEFT($B10,2)="40","fournisseurs",IF(LEFT($B10,2)="41","clients",IF(LEFT($B10,2)="32","stocks",IF(LEFT($B10,2)="60","charges",IF(LEFT($B10,2)="61","services",IF(LEFT($B10,2)="62","personnel",IF(LEFT($B10,2)="63","fiscal",IF(LEFT($B10,2)="64","financier","autres"))))))))))))))))))</f>
        <v/>
      </c>
      <c r="I10" s="1" t="str">
        <f>IF($L10="","",INDEX(Ref_AccountRules,$L10,3))</f>
        <v/>
      </c>
      <c r="J10" s="1" t="str">
        <f>IF($L10="","",INDEX(Ref_AccountRules,$L10,4))</f>
        <v/>
      </c>
      <c r="K10" s="1" t="str">
        <f>IF($L10="","",INDEX(Ref_AccountRules,$L10,5))</f>
        <v/>
      </c>
      <c r="L10" s="1" t="str">
        <f>IF($B10="","",IF(LEFT($B10,3)="215",1,IF(LEFT($B10,4)="2183",2,IF(LEFT($B10,3)="401",3,IF(LEFT($B10,3)="411",4,IF(LEFT($B10,3)="322",5,IF(LEFT($B10,4)="3220",6,IF(LEFT($B10,5)="32200",7,IF(LEFT($B10,3)="625",8,IF(LEFT($B10,3)="606",9,IF(LEFT($B10,3)="164",10,IF(LEFT($B10,6)="606880",11,""))))))))))))</f>
        <v/>
      </c>
    </row>
    <row r="11" spans="1:14" x14ac:dyDescent="0.35">
      <c r="B11" s="12"/>
      <c r="C11" s="11"/>
      <c r="D11" s="11"/>
      <c r="E11" s="11"/>
      <c r="F11" s="1" t="str">
        <f t="shared" ref="F11:F74" si="0">IF($B11="","",E11-D11)</f>
        <v/>
      </c>
      <c r="G11" s="1" t="str">
        <f t="shared" ref="G11:G74" si="1">IF($B11="","",IF(D11=0,0,(E11-D11)/ABS(D11)*100))</f>
        <v/>
      </c>
      <c r="H11" s="1" t="str">
        <f t="shared" ref="H11:H74" si="2">IF($B11="","",IF(LEFT($B11,6)="606880","emballages",IF(LEFT($B11,4)="6068","emballages",IF(LEFT($B11,3)="606","energie_dechets",IF(LEFT($B11,3)="164","tresorerie_financement",IF(LEFT($B11,2)="20","immobilisations",IF(LEFT($B11,2)="21","immobilisations",IF(LEFT($B11,2)="22","immobilisations",IF(LEFT($B11,2)="23","immobilisations",IF(LEFT($B11,2)="28","immobilisations",IF(LEFT($B11,2)="40","fournisseurs",IF(LEFT($B11,2)="41","clients",IF(LEFT($B11,2)="32","stocks",IF(LEFT($B11,2)="60","charges",IF(LEFT($B11,2)="61","services",IF(LEFT($B11,2)="62","personnel",IF(LEFT($B11,2)="63","fiscal",IF(LEFT($B11,2)="64","financier","autres"))))))))))))))))))</f>
        <v/>
      </c>
      <c r="I11" s="1" t="str">
        <f>IF($L11="","",INDEX(Ref_AccountRules,$L11,3))</f>
        <v/>
      </c>
      <c r="J11" s="1" t="str">
        <f>IF($L11="","",INDEX(Ref_AccountRules,$L11,4))</f>
        <v/>
      </c>
      <c r="K11" s="1" t="str">
        <f>IF($L11="","",INDEX(Ref_AccountRules,$L11,5))</f>
        <v/>
      </c>
      <c r="L11" s="1" t="str">
        <f t="shared" ref="L11:L74" si="3">IF($B11="","",IF(LEFT($B11,3)="215",1,IF(LEFT($B11,4)="2183",2,IF(LEFT($B11,3)="401",3,IF(LEFT($B11,3)="411",4,IF(LEFT($B11,3)="322",5,IF(LEFT($B11,4)="3220",6,IF(LEFT($B11,5)="32200",7,IF(LEFT($B11,3)="625",8,IF(LEFT($B11,3)="606",9,IF(LEFT($B11,3)="164",10,IF(LEFT($B11,6)="606880",11,""))))))))))))</f>
        <v/>
      </c>
    </row>
    <row r="12" spans="1:14" x14ac:dyDescent="0.35">
      <c r="B12" s="12"/>
      <c r="C12" s="11"/>
      <c r="D12" s="11"/>
      <c r="E12" s="11"/>
      <c r="F12" s="1" t="str">
        <f t="shared" si="0"/>
        <v/>
      </c>
      <c r="G12" s="1" t="str">
        <f t="shared" si="1"/>
        <v/>
      </c>
      <c r="H12" s="1" t="str">
        <f t="shared" si="2"/>
        <v/>
      </c>
      <c r="I12" s="1" t="str">
        <f>IF($L12="","",INDEX(Ref_AccountRules,$L12,3))</f>
        <v/>
      </c>
      <c r="J12" s="1" t="str">
        <f>IF($L12="","",INDEX(Ref_AccountRules,$L12,4))</f>
        <v/>
      </c>
      <c r="K12" s="1" t="str">
        <f>IF($L12="","",INDEX(Ref_AccountRules,$L12,5))</f>
        <v/>
      </c>
      <c r="L12" s="1" t="str">
        <f t="shared" si="3"/>
        <v/>
      </c>
    </row>
    <row r="13" spans="1:14" x14ac:dyDescent="0.35">
      <c r="B13" s="12"/>
      <c r="C13" s="11"/>
      <c r="D13" s="11"/>
      <c r="E13" s="11"/>
      <c r="F13" s="1" t="str">
        <f t="shared" si="0"/>
        <v/>
      </c>
      <c r="G13" s="1" t="str">
        <f t="shared" si="1"/>
        <v/>
      </c>
      <c r="H13" s="1" t="str">
        <f t="shared" si="2"/>
        <v/>
      </c>
      <c r="I13" s="1" t="str">
        <f>IF($L13="","",INDEX(Ref_AccountRules,$L13,3))</f>
        <v/>
      </c>
      <c r="J13" s="1" t="str">
        <f>IF($L13="","",INDEX(Ref_AccountRules,$L13,4))</f>
        <v/>
      </c>
      <c r="K13" s="1" t="str">
        <f>IF($L13="","",INDEX(Ref_AccountRules,$L13,5))</f>
        <v/>
      </c>
      <c r="L13" s="1" t="str">
        <f t="shared" si="3"/>
        <v/>
      </c>
    </row>
    <row r="14" spans="1:14" x14ac:dyDescent="0.35">
      <c r="B14" s="12"/>
      <c r="C14" s="11"/>
      <c r="D14" s="11"/>
      <c r="E14" s="11"/>
      <c r="F14" s="1" t="str">
        <f t="shared" si="0"/>
        <v/>
      </c>
      <c r="G14" s="1" t="str">
        <f t="shared" si="1"/>
        <v/>
      </c>
      <c r="H14" s="1" t="str">
        <f t="shared" si="2"/>
        <v/>
      </c>
      <c r="I14" s="1" t="str">
        <f>IF($L14="","",INDEX(Ref_AccountRules,$L14,3))</f>
        <v/>
      </c>
      <c r="J14" s="1" t="str">
        <f>IF($L14="","",INDEX(Ref_AccountRules,$L14,4))</f>
        <v/>
      </c>
      <c r="K14" s="1" t="str">
        <f>IF($L14="","",INDEX(Ref_AccountRules,$L14,5))</f>
        <v/>
      </c>
      <c r="L14" s="1" t="str">
        <f t="shared" si="3"/>
        <v/>
      </c>
    </row>
    <row r="15" spans="1:14" x14ac:dyDescent="0.35">
      <c r="B15" s="12"/>
      <c r="C15" s="11"/>
      <c r="D15" s="11"/>
      <c r="E15" s="11"/>
      <c r="F15" s="1" t="str">
        <f t="shared" si="0"/>
        <v/>
      </c>
      <c r="G15" s="1" t="str">
        <f t="shared" si="1"/>
        <v/>
      </c>
      <c r="H15" s="1" t="str">
        <f t="shared" si="2"/>
        <v/>
      </c>
      <c r="I15" s="1" t="str">
        <f>IF($L15="","",INDEX(Ref_AccountRules,$L15,3))</f>
        <v/>
      </c>
      <c r="J15" s="1" t="str">
        <f>IF($L15="","",INDEX(Ref_AccountRules,$L15,4))</f>
        <v/>
      </c>
      <c r="K15" s="1" t="str">
        <f>IF($L15="","",INDEX(Ref_AccountRules,$L15,5))</f>
        <v/>
      </c>
      <c r="L15" s="1" t="str">
        <f t="shared" si="3"/>
        <v/>
      </c>
    </row>
    <row r="16" spans="1:14" x14ac:dyDescent="0.35">
      <c r="B16" s="12"/>
      <c r="C16" s="11"/>
      <c r="D16" s="11"/>
      <c r="E16" s="11"/>
      <c r="F16" s="1" t="str">
        <f t="shared" si="0"/>
        <v/>
      </c>
      <c r="G16" s="1" t="str">
        <f t="shared" si="1"/>
        <v/>
      </c>
      <c r="H16" s="1" t="str">
        <f t="shared" si="2"/>
        <v/>
      </c>
      <c r="I16" s="1" t="str">
        <f>IF($L16="","",INDEX(Ref_AccountRules,$L16,3))</f>
        <v/>
      </c>
      <c r="J16" s="1" t="str">
        <f>IF($L16="","",INDEX(Ref_AccountRules,$L16,4))</f>
        <v/>
      </c>
      <c r="K16" s="1" t="str">
        <f>IF($L16="","",INDEX(Ref_AccountRules,$L16,5))</f>
        <v/>
      </c>
      <c r="L16" s="1" t="str">
        <f t="shared" si="3"/>
        <v/>
      </c>
    </row>
    <row r="17" spans="2:12" x14ac:dyDescent="0.35">
      <c r="B17" s="12"/>
      <c r="C17" s="11"/>
      <c r="D17" s="11"/>
      <c r="E17" s="11"/>
      <c r="F17" s="1" t="str">
        <f t="shared" si="0"/>
        <v/>
      </c>
      <c r="G17" s="1" t="str">
        <f t="shared" si="1"/>
        <v/>
      </c>
      <c r="H17" s="1" t="str">
        <f t="shared" si="2"/>
        <v/>
      </c>
      <c r="I17" s="1" t="str">
        <f>IF($L17="","",INDEX(Ref_AccountRules,$L17,3))</f>
        <v/>
      </c>
      <c r="J17" s="1" t="str">
        <f>IF($L17="","",INDEX(Ref_AccountRules,$L17,4))</f>
        <v/>
      </c>
      <c r="K17" s="1" t="str">
        <f>IF($L17="","",INDEX(Ref_AccountRules,$L17,5))</f>
        <v/>
      </c>
      <c r="L17" s="1" t="str">
        <f t="shared" si="3"/>
        <v/>
      </c>
    </row>
    <row r="18" spans="2:12" x14ac:dyDescent="0.35">
      <c r="B18" s="12"/>
      <c r="C18" s="11"/>
      <c r="D18" s="11"/>
      <c r="E18" s="11"/>
      <c r="F18" s="1" t="str">
        <f t="shared" si="0"/>
        <v/>
      </c>
      <c r="G18" s="1" t="str">
        <f t="shared" si="1"/>
        <v/>
      </c>
      <c r="H18" s="1" t="str">
        <f t="shared" si="2"/>
        <v/>
      </c>
      <c r="I18" s="1" t="str">
        <f>IF($L18="","",INDEX(Ref_AccountRules,$L18,3))</f>
        <v/>
      </c>
      <c r="J18" s="1" t="str">
        <f>IF($L18="","",INDEX(Ref_AccountRules,$L18,4))</f>
        <v/>
      </c>
      <c r="K18" s="1" t="str">
        <f>IF($L18="","",INDEX(Ref_AccountRules,$L18,5))</f>
        <v/>
      </c>
      <c r="L18" s="1" t="str">
        <f t="shared" si="3"/>
        <v/>
      </c>
    </row>
    <row r="19" spans="2:12" x14ac:dyDescent="0.35">
      <c r="B19" s="12"/>
      <c r="C19" s="11"/>
      <c r="D19" s="11"/>
      <c r="E19" s="11"/>
      <c r="F19" s="1" t="str">
        <f t="shared" si="0"/>
        <v/>
      </c>
      <c r="G19" s="1" t="str">
        <f t="shared" si="1"/>
        <v/>
      </c>
      <c r="H19" s="1" t="str">
        <f t="shared" si="2"/>
        <v/>
      </c>
      <c r="I19" s="1" t="str">
        <f>IF($L19="","",INDEX(Ref_AccountRules,$L19,3))</f>
        <v/>
      </c>
      <c r="J19" s="1" t="str">
        <f>IF($L19="","",INDEX(Ref_AccountRules,$L19,4))</f>
        <v/>
      </c>
      <c r="K19" s="1" t="str">
        <f>IF($L19="","",INDEX(Ref_AccountRules,$L19,5))</f>
        <v/>
      </c>
      <c r="L19" s="1" t="str">
        <f t="shared" si="3"/>
        <v/>
      </c>
    </row>
    <row r="20" spans="2:12" x14ac:dyDescent="0.35">
      <c r="B20" s="12"/>
      <c r="C20" s="11"/>
      <c r="D20" s="11"/>
      <c r="E20" s="11"/>
      <c r="F20" s="1" t="str">
        <f t="shared" si="0"/>
        <v/>
      </c>
      <c r="G20" s="1" t="str">
        <f t="shared" si="1"/>
        <v/>
      </c>
      <c r="H20" s="1" t="str">
        <f t="shared" si="2"/>
        <v/>
      </c>
      <c r="I20" s="1" t="str">
        <f>IF($L20="","",INDEX(Ref_AccountRules,$L20,3))</f>
        <v/>
      </c>
      <c r="J20" s="1" t="str">
        <f>IF($L20="","",INDEX(Ref_AccountRules,$L20,4))</f>
        <v/>
      </c>
      <c r="K20" s="1" t="str">
        <f>IF($L20="","",INDEX(Ref_AccountRules,$L20,5))</f>
        <v/>
      </c>
      <c r="L20" s="1" t="str">
        <f t="shared" si="3"/>
        <v/>
      </c>
    </row>
    <row r="21" spans="2:12" x14ac:dyDescent="0.35">
      <c r="B21" s="12"/>
      <c r="C21" s="11"/>
      <c r="D21" s="11"/>
      <c r="E21" s="11"/>
      <c r="F21" s="1" t="str">
        <f t="shared" si="0"/>
        <v/>
      </c>
      <c r="G21" s="1" t="str">
        <f t="shared" si="1"/>
        <v/>
      </c>
      <c r="H21" s="1" t="str">
        <f t="shared" si="2"/>
        <v/>
      </c>
      <c r="I21" s="1" t="str">
        <f>IF($L21="","",INDEX(Ref_AccountRules,$L21,3))</f>
        <v/>
      </c>
      <c r="J21" s="1" t="str">
        <f>IF($L21="","",INDEX(Ref_AccountRules,$L21,4))</f>
        <v/>
      </c>
      <c r="K21" s="1" t="str">
        <f>IF($L21="","",INDEX(Ref_AccountRules,$L21,5))</f>
        <v/>
      </c>
      <c r="L21" s="1" t="str">
        <f t="shared" si="3"/>
        <v/>
      </c>
    </row>
    <row r="22" spans="2:12" x14ac:dyDescent="0.35">
      <c r="B22" s="12"/>
      <c r="C22" s="11"/>
      <c r="D22" s="11"/>
      <c r="E22" s="11"/>
      <c r="F22" s="1" t="str">
        <f t="shared" si="0"/>
        <v/>
      </c>
      <c r="G22" s="1" t="str">
        <f t="shared" si="1"/>
        <v/>
      </c>
      <c r="H22" s="1" t="str">
        <f t="shared" si="2"/>
        <v/>
      </c>
      <c r="I22" s="1" t="str">
        <f>IF($L22="","",INDEX(Ref_AccountRules,$L22,3))</f>
        <v/>
      </c>
      <c r="J22" s="1" t="str">
        <f>IF($L22="","",INDEX(Ref_AccountRules,$L22,4))</f>
        <v/>
      </c>
      <c r="K22" s="1" t="str">
        <f>IF($L22="","",INDEX(Ref_AccountRules,$L22,5))</f>
        <v/>
      </c>
      <c r="L22" s="1" t="str">
        <f t="shared" si="3"/>
        <v/>
      </c>
    </row>
    <row r="23" spans="2:12" x14ac:dyDescent="0.35">
      <c r="B23" s="12"/>
      <c r="C23" s="11"/>
      <c r="D23" s="11"/>
      <c r="E23" s="11"/>
      <c r="F23" s="1" t="str">
        <f t="shared" si="0"/>
        <v/>
      </c>
      <c r="G23" s="1" t="str">
        <f t="shared" si="1"/>
        <v/>
      </c>
      <c r="H23" s="1" t="str">
        <f t="shared" si="2"/>
        <v/>
      </c>
      <c r="I23" s="1" t="str">
        <f>IF($L23="","",INDEX(Ref_AccountRules,$L23,3))</f>
        <v/>
      </c>
      <c r="J23" s="1" t="str">
        <f>IF($L23="","",INDEX(Ref_AccountRules,$L23,4))</f>
        <v/>
      </c>
      <c r="K23" s="1" t="str">
        <f>IF($L23="","",INDEX(Ref_AccountRules,$L23,5))</f>
        <v/>
      </c>
      <c r="L23" s="1" t="str">
        <f t="shared" si="3"/>
        <v/>
      </c>
    </row>
    <row r="24" spans="2:12" x14ac:dyDescent="0.35">
      <c r="B24" s="12"/>
      <c r="C24" s="11"/>
      <c r="D24" s="11"/>
      <c r="E24" s="11"/>
      <c r="F24" s="1" t="str">
        <f t="shared" si="0"/>
        <v/>
      </c>
      <c r="G24" s="1" t="str">
        <f t="shared" si="1"/>
        <v/>
      </c>
      <c r="H24" s="1" t="str">
        <f t="shared" si="2"/>
        <v/>
      </c>
      <c r="I24" s="1" t="str">
        <f>IF($L24="","",INDEX(Ref_AccountRules,$L24,3))</f>
        <v/>
      </c>
      <c r="J24" s="1" t="str">
        <f>IF($L24="","",INDEX(Ref_AccountRules,$L24,4))</f>
        <v/>
      </c>
      <c r="K24" s="1" t="str">
        <f>IF($L24="","",INDEX(Ref_AccountRules,$L24,5))</f>
        <v/>
      </c>
      <c r="L24" s="1" t="str">
        <f t="shared" si="3"/>
        <v/>
      </c>
    </row>
    <row r="25" spans="2:12" x14ac:dyDescent="0.35">
      <c r="B25" s="12"/>
      <c r="C25" s="11"/>
      <c r="D25" s="11"/>
      <c r="E25" s="11"/>
      <c r="F25" s="1" t="str">
        <f t="shared" si="0"/>
        <v/>
      </c>
      <c r="G25" s="1" t="str">
        <f t="shared" si="1"/>
        <v/>
      </c>
      <c r="H25" s="1" t="str">
        <f t="shared" si="2"/>
        <v/>
      </c>
      <c r="I25" s="1" t="str">
        <f>IF($L25="","",INDEX(Ref_AccountRules,$L25,3))</f>
        <v/>
      </c>
      <c r="J25" s="1" t="str">
        <f>IF($L25="","",INDEX(Ref_AccountRules,$L25,4))</f>
        <v/>
      </c>
      <c r="K25" s="1" t="str">
        <f>IF($L25="","",INDEX(Ref_AccountRules,$L25,5))</f>
        <v/>
      </c>
      <c r="L25" s="1" t="str">
        <f t="shared" si="3"/>
        <v/>
      </c>
    </row>
    <row r="26" spans="2:12" x14ac:dyDescent="0.35">
      <c r="B26" s="12"/>
      <c r="C26" s="11"/>
      <c r="D26" s="11"/>
      <c r="E26" s="11"/>
      <c r="F26" s="1" t="str">
        <f t="shared" si="0"/>
        <v/>
      </c>
      <c r="G26" s="1" t="str">
        <f t="shared" si="1"/>
        <v/>
      </c>
      <c r="H26" s="1" t="str">
        <f t="shared" si="2"/>
        <v/>
      </c>
      <c r="I26" s="1" t="str">
        <f>IF($L26="","",INDEX(Ref_AccountRules,$L26,3))</f>
        <v/>
      </c>
      <c r="J26" s="1" t="str">
        <f>IF($L26="","",INDEX(Ref_AccountRules,$L26,4))</f>
        <v/>
      </c>
      <c r="K26" s="1" t="str">
        <f>IF($L26="","",INDEX(Ref_AccountRules,$L26,5))</f>
        <v/>
      </c>
      <c r="L26" s="1" t="str">
        <f t="shared" si="3"/>
        <v/>
      </c>
    </row>
    <row r="27" spans="2:12" x14ac:dyDescent="0.35">
      <c r="B27" s="12"/>
      <c r="C27" s="11"/>
      <c r="D27" s="11"/>
      <c r="E27" s="11"/>
      <c r="F27" s="1" t="str">
        <f t="shared" si="0"/>
        <v/>
      </c>
      <c r="G27" s="1" t="str">
        <f t="shared" si="1"/>
        <v/>
      </c>
      <c r="H27" s="1" t="str">
        <f t="shared" si="2"/>
        <v/>
      </c>
      <c r="I27" s="1" t="str">
        <f>IF($L27="","",INDEX(Ref_AccountRules,$L27,3))</f>
        <v/>
      </c>
      <c r="J27" s="1" t="str">
        <f>IF($L27="","",INDEX(Ref_AccountRules,$L27,4))</f>
        <v/>
      </c>
      <c r="K27" s="1" t="str">
        <f>IF($L27="","",INDEX(Ref_AccountRules,$L27,5))</f>
        <v/>
      </c>
      <c r="L27" s="1" t="str">
        <f t="shared" si="3"/>
        <v/>
      </c>
    </row>
    <row r="28" spans="2:12" x14ac:dyDescent="0.35">
      <c r="B28" s="12"/>
      <c r="C28" s="11"/>
      <c r="D28" s="11"/>
      <c r="E28" s="11"/>
      <c r="F28" s="1" t="str">
        <f t="shared" si="0"/>
        <v/>
      </c>
      <c r="G28" s="1" t="str">
        <f t="shared" si="1"/>
        <v/>
      </c>
      <c r="H28" s="1" t="str">
        <f t="shared" si="2"/>
        <v/>
      </c>
      <c r="I28" s="1" t="str">
        <f>IF($L28="","",INDEX(Ref_AccountRules,$L28,3))</f>
        <v/>
      </c>
      <c r="J28" s="1" t="str">
        <f>IF($L28="","",INDEX(Ref_AccountRules,$L28,4))</f>
        <v/>
      </c>
      <c r="K28" s="1" t="str">
        <f>IF($L28="","",INDEX(Ref_AccountRules,$L28,5))</f>
        <v/>
      </c>
      <c r="L28" s="1" t="str">
        <f t="shared" si="3"/>
        <v/>
      </c>
    </row>
    <row r="29" spans="2:12" x14ac:dyDescent="0.35">
      <c r="B29" s="12"/>
      <c r="C29" s="11"/>
      <c r="D29" s="11"/>
      <c r="E29" s="11"/>
      <c r="F29" s="1" t="str">
        <f t="shared" si="0"/>
        <v/>
      </c>
      <c r="G29" s="1" t="str">
        <f t="shared" si="1"/>
        <v/>
      </c>
      <c r="H29" s="1" t="str">
        <f t="shared" si="2"/>
        <v/>
      </c>
      <c r="I29" s="1" t="str">
        <f>IF($L29="","",INDEX(Ref_AccountRules,$L29,3))</f>
        <v/>
      </c>
      <c r="J29" s="1" t="str">
        <f>IF($L29="","",INDEX(Ref_AccountRules,$L29,4))</f>
        <v/>
      </c>
      <c r="K29" s="1" t="str">
        <f>IF($L29="","",INDEX(Ref_AccountRules,$L29,5))</f>
        <v/>
      </c>
      <c r="L29" s="1" t="str">
        <f t="shared" si="3"/>
        <v/>
      </c>
    </row>
    <row r="30" spans="2:12" x14ac:dyDescent="0.35">
      <c r="B30" s="12"/>
      <c r="C30" s="11"/>
      <c r="D30" s="11"/>
      <c r="E30" s="11"/>
      <c r="F30" s="1" t="str">
        <f t="shared" si="0"/>
        <v/>
      </c>
      <c r="G30" s="1" t="str">
        <f t="shared" si="1"/>
        <v/>
      </c>
      <c r="H30" s="1" t="str">
        <f t="shared" si="2"/>
        <v/>
      </c>
      <c r="I30" s="1" t="str">
        <f>IF($L30="","",INDEX(Ref_AccountRules,$L30,3))</f>
        <v/>
      </c>
      <c r="J30" s="1" t="str">
        <f>IF($L30="","",INDEX(Ref_AccountRules,$L30,4))</f>
        <v/>
      </c>
      <c r="K30" s="1" t="str">
        <f>IF($L30="","",INDEX(Ref_AccountRules,$L30,5))</f>
        <v/>
      </c>
      <c r="L30" s="1" t="str">
        <f t="shared" si="3"/>
        <v/>
      </c>
    </row>
    <row r="31" spans="2:12" x14ac:dyDescent="0.35">
      <c r="B31" s="12"/>
      <c r="C31" s="11"/>
      <c r="D31" s="11"/>
      <c r="E31" s="11"/>
      <c r="F31" s="1" t="str">
        <f t="shared" si="0"/>
        <v/>
      </c>
      <c r="G31" s="1" t="str">
        <f t="shared" si="1"/>
        <v/>
      </c>
      <c r="H31" s="1" t="str">
        <f t="shared" si="2"/>
        <v/>
      </c>
      <c r="I31" s="1" t="str">
        <f>IF($L31="","",INDEX(Ref_AccountRules,$L31,3))</f>
        <v/>
      </c>
      <c r="J31" s="1" t="str">
        <f>IF($L31="","",INDEX(Ref_AccountRules,$L31,4))</f>
        <v/>
      </c>
      <c r="K31" s="1" t="str">
        <f>IF($L31="","",INDEX(Ref_AccountRules,$L31,5))</f>
        <v/>
      </c>
      <c r="L31" s="1" t="str">
        <f t="shared" si="3"/>
        <v/>
      </c>
    </row>
    <row r="32" spans="2:12" x14ac:dyDescent="0.35">
      <c r="B32" s="12"/>
      <c r="C32" s="11"/>
      <c r="D32" s="11"/>
      <c r="E32" s="11"/>
      <c r="F32" s="1" t="str">
        <f t="shared" si="0"/>
        <v/>
      </c>
      <c r="G32" s="1" t="str">
        <f t="shared" si="1"/>
        <v/>
      </c>
      <c r="H32" s="1" t="str">
        <f t="shared" si="2"/>
        <v/>
      </c>
      <c r="I32" s="1" t="str">
        <f>IF($L32="","",INDEX(Ref_AccountRules,$L32,3))</f>
        <v/>
      </c>
      <c r="J32" s="1" t="str">
        <f>IF($L32="","",INDEX(Ref_AccountRules,$L32,4))</f>
        <v/>
      </c>
      <c r="K32" s="1" t="str">
        <f>IF($L32="","",INDEX(Ref_AccountRules,$L32,5))</f>
        <v/>
      </c>
      <c r="L32" s="1" t="str">
        <f t="shared" si="3"/>
        <v/>
      </c>
    </row>
    <row r="33" spans="2:12" x14ac:dyDescent="0.35">
      <c r="B33" s="12"/>
      <c r="C33" s="11"/>
      <c r="D33" s="11"/>
      <c r="E33" s="11"/>
      <c r="F33" s="1" t="str">
        <f t="shared" si="0"/>
        <v/>
      </c>
      <c r="G33" s="1" t="str">
        <f t="shared" si="1"/>
        <v/>
      </c>
      <c r="H33" s="1" t="str">
        <f t="shared" si="2"/>
        <v/>
      </c>
      <c r="I33" s="1" t="str">
        <f>IF($L33="","",INDEX(Ref_AccountRules,$L33,3))</f>
        <v/>
      </c>
      <c r="J33" s="1" t="str">
        <f>IF($L33="","",INDEX(Ref_AccountRules,$L33,4))</f>
        <v/>
      </c>
      <c r="K33" s="1" t="str">
        <f>IF($L33="","",INDEX(Ref_AccountRules,$L33,5))</f>
        <v/>
      </c>
      <c r="L33" s="1" t="str">
        <f t="shared" si="3"/>
        <v/>
      </c>
    </row>
    <row r="34" spans="2:12" x14ac:dyDescent="0.35">
      <c r="B34" s="12"/>
      <c r="C34" s="11"/>
      <c r="D34" s="11"/>
      <c r="E34" s="11"/>
      <c r="F34" s="1" t="str">
        <f t="shared" si="0"/>
        <v/>
      </c>
      <c r="G34" s="1" t="str">
        <f t="shared" si="1"/>
        <v/>
      </c>
      <c r="H34" s="1" t="str">
        <f t="shared" si="2"/>
        <v/>
      </c>
      <c r="I34" s="1" t="str">
        <f>IF($L34="","",INDEX(Ref_AccountRules,$L34,3))</f>
        <v/>
      </c>
      <c r="J34" s="1" t="str">
        <f>IF($L34="","",INDEX(Ref_AccountRules,$L34,4))</f>
        <v/>
      </c>
      <c r="K34" s="1" t="str">
        <f>IF($L34="","",INDEX(Ref_AccountRules,$L34,5))</f>
        <v/>
      </c>
      <c r="L34" s="1" t="str">
        <f t="shared" si="3"/>
        <v/>
      </c>
    </row>
    <row r="35" spans="2:12" x14ac:dyDescent="0.35">
      <c r="B35" s="12"/>
      <c r="C35" s="11"/>
      <c r="D35" s="11"/>
      <c r="E35" s="11"/>
      <c r="F35" s="1" t="str">
        <f t="shared" si="0"/>
        <v/>
      </c>
      <c r="G35" s="1" t="str">
        <f t="shared" si="1"/>
        <v/>
      </c>
      <c r="H35" s="1" t="str">
        <f t="shared" si="2"/>
        <v/>
      </c>
      <c r="I35" s="1" t="str">
        <f>IF($L35="","",INDEX(Ref_AccountRules,$L35,3))</f>
        <v/>
      </c>
      <c r="J35" s="1" t="str">
        <f>IF($L35="","",INDEX(Ref_AccountRules,$L35,4))</f>
        <v/>
      </c>
      <c r="K35" s="1" t="str">
        <f>IF($L35="","",INDEX(Ref_AccountRules,$L35,5))</f>
        <v/>
      </c>
      <c r="L35" s="1" t="str">
        <f t="shared" si="3"/>
        <v/>
      </c>
    </row>
    <row r="36" spans="2:12" x14ac:dyDescent="0.35">
      <c r="B36" s="12"/>
      <c r="C36" s="11"/>
      <c r="D36" s="11"/>
      <c r="E36" s="11"/>
      <c r="F36" s="1" t="str">
        <f t="shared" si="0"/>
        <v/>
      </c>
      <c r="G36" s="1" t="str">
        <f t="shared" si="1"/>
        <v/>
      </c>
      <c r="H36" s="1" t="str">
        <f t="shared" si="2"/>
        <v/>
      </c>
      <c r="I36" s="1" t="str">
        <f>IF($L36="","",INDEX(Ref_AccountRules,$L36,3))</f>
        <v/>
      </c>
      <c r="J36" s="1" t="str">
        <f>IF($L36="","",INDEX(Ref_AccountRules,$L36,4))</f>
        <v/>
      </c>
      <c r="K36" s="1" t="str">
        <f>IF($L36="","",INDEX(Ref_AccountRules,$L36,5))</f>
        <v/>
      </c>
      <c r="L36" s="1" t="str">
        <f t="shared" si="3"/>
        <v/>
      </c>
    </row>
    <row r="37" spans="2:12" x14ac:dyDescent="0.35">
      <c r="B37" s="12"/>
      <c r="C37" s="11"/>
      <c r="D37" s="11"/>
      <c r="E37" s="11"/>
      <c r="F37" s="1" t="str">
        <f t="shared" si="0"/>
        <v/>
      </c>
      <c r="G37" s="1" t="str">
        <f t="shared" si="1"/>
        <v/>
      </c>
      <c r="H37" s="1" t="str">
        <f t="shared" si="2"/>
        <v/>
      </c>
      <c r="I37" s="1" t="str">
        <f>IF($L37="","",INDEX(Ref_AccountRules,$L37,3))</f>
        <v/>
      </c>
      <c r="J37" s="1" t="str">
        <f>IF($L37="","",INDEX(Ref_AccountRules,$L37,4))</f>
        <v/>
      </c>
      <c r="K37" s="1" t="str">
        <f>IF($L37="","",INDEX(Ref_AccountRules,$L37,5))</f>
        <v/>
      </c>
      <c r="L37" s="1" t="str">
        <f t="shared" si="3"/>
        <v/>
      </c>
    </row>
    <row r="38" spans="2:12" x14ac:dyDescent="0.35">
      <c r="B38" s="12"/>
      <c r="C38" s="11"/>
      <c r="D38" s="11"/>
      <c r="E38" s="11"/>
      <c r="F38" s="1" t="str">
        <f t="shared" si="0"/>
        <v/>
      </c>
      <c r="G38" s="1" t="str">
        <f t="shared" si="1"/>
        <v/>
      </c>
      <c r="H38" s="1" t="str">
        <f t="shared" si="2"/>
        <v/>
      </c>
      <c r="I38" s="1" t="str">
        <f>IF($L38="","",INDEX(Ref_AccountRules,$L38,3))</f>
        <v/>
      </c>
      <c r="J38" s="1" t="str">
        <f>IF($L38="","",INDEX(Ref_AccountRules,$L38,4))</f>
        <v/>
      </c>
      <c r="K38" s="1" t="str">
        <f>IF($L38="","",INDEX(Ref_AccountRules,$L38,5))</f>
        <v/>
      </c>
      <c r="L38" s="1" t="str">
        <f t="shared" si="3"/>
        <v/>
      </c>
    </row>
    <row r="39" spans="2:12" x14ac:dyDescent="0.35">
      <c r="B39" s="12"/>
      <c r="C39" s="11"/>
      <c r="D39" s="11"/>
      <c r="E39" s="11"/>
      <c r="F39" s="1" t="str">
        <f t="shared" si="0"/>
        <v/>
      </c>
      <c r="G39" s="1" t="str">
        <f t="shared" si="1"/>
        <v/>
      </c>
      <c r="H39" s="1" t="str">
        <f t="shared" si="2"/>
        <v/>
      </c>
      <c r="I39" s="1" t="str">
        <f>IF($L39="","",INDEX(Ref_AccountRules,$L39,3))</f>
        <v/>
      </c>
      <c r="J39" s="1" t="str">
        <f>IF($L39="","",INDEX(Ref_AccountRules,$L39,4))</f>
        <v/>
      </c>
      <c r="K39" s="1" t="str">
        <f>IF($L39="","",INDEX(Ref_AccountRules,$L39,5))</f>
        <v/>
      </c>
      <c r="L39" s="1" t="str">
        <f t="shared" si="3"/>
        <v/>
      </c>
    </row>
    <row r="40" spans="2:12" x14ac:dyDescent="0.35">
      <c r="B40" s="12"/>
      <c r="C40" s="11"/>
      <c r="D40" s="11"/>
      <c r="E40" s="11"/>
      <c r="F40" s="1" t="str">
        <f t="shared" si="0"/>
        <v/>
      </c>
      <c r="G40" s="1" t="str">
        <f t="shared" si="1"/>
        <v/>
      </c>
      <c r="H40" s="1" t="str">
        <f t="shared" si="2"/>
        <v/>
      </c>
      <c r="I40" s="1" t="str">
        <f>IF($L40="","",INDEX(Ref_AccountRules,$L40,3))</f>
        <v/>
      </c>
      <c r="J40" s="1" t="str">
        <f>IF($L40="","",INDEX(Ref_AccountRules,$L40,4))</f>
        <v/>
      </c>
      <c r="K40" s="1" t="str">
        <f>IF($L40="","",INDEX(Ref_AccountRules,$L40,5))</f>
        <v/>
      </c>
      <c r="L40" s="1" t="str">
        <f t="shared" si="3"/>
        <v/>
      </c>
    </row>
    <row r="41" spans="2:12" x14ac:dyDescent="0.35">
      <c r="B41" s="12"/>
      <c r="C41" s="11"/>
      <c r="D41" s="11"/>
      <c r="E41" s="11"/>
      <c r="F41" s="1" t="str">
        <f t="shared" si="0"/>
        <v/>
      </c>
      <c r="G41" s="1" t="str">
        <f t="shared" si="1"/>
        <v/>
      </c>
      <c r="H41" s="1" t="str">
        <f t="shared" si="2"/>
        <v/>
      </c>
      <c r="I41" s="1" t="str">
        <f>IF($L41="","",INDEX(Ref_AccountRules,$L41,3))</f>
        <v/>
      </c>
      <c r="J41" s="1" t="str">
        <f>IF($L41="","",INDEX(Ref_AccountRules,$L41,4))</f>
        <v/>
      </c>
      <c r="K41" s="1" t="str">
        <f>IF($L41="","",INDEX(Ref_AccountRules,$L41,5))</f>
        <v/>
      </c>
      <c r="L41" s="1" t="str">
        <f t="shared" si="3"/>
        <v/>
      </c>
    </row>
    <row r="42" spans="2:12" x14ac:dyDescent="0.35">
      <c r="B42" s="12"/>
      <c r="C42" s="11"/>
      <c r="D42" s="11"/>
      <c r="E42" s="11"/>
      <c r="F42" s="1" t="str">
        <f t="shared" si="0"/>
        <v/>
      </c>
      <c r="G42" s="1" t="str">
        <f t="shared" si="1"/>
        <v/>
      </c>
      <c r="H42" s="1" t="str">
        <f t="shared" si="2"/>
        <v/>
      </c>
      <c r="I42" s="1" t="str">
        <f>IF($L42="","",INDEX(Ref_AccountRules,$L42,3))</f>
        <v/>
      </c>
      <c r="J42" s="1" t="str">
        <f>IF($L42="","",INDEX(Ref_AccountRules,$L42,4))</f>
        <v/>
      </c>
      <c r="K42" s="1" t="str">
        <f>IF($L42="","",INDEX(Ref_AccountRules,$L42,5))</f>
        <v/>
      </c>
      <c r="L42" s="1" t="str">
        <f t="shared" si="3"/>
        <v/>
      </c>
    </row>
    <row r="43" spans="2:12" x14ac:dyDescent="0.35">
      <c r="B43" s="12"/>
      <c r="C43" s="11"/>
      <c r="D43" s="11"/>
      <c r="E43" s="11"/>
      <c r="F43" s="1" t="str">
        <f t="shared" si="0"/>
        <v/>
      </c>
      <c r="G43" s="1" t="str">
        <f t="shared" si="1"/>
        <v/>
      </c>
      <c r="H43" s="1" t="str">
        <f t="shared" si="2"/>
        <v/>
      </c>
      <c r="I43" s="1" t="str">
        <f>IF($L43="","",INDEX(Ref_AccountRules,$L43,3))</f>
        <v/>
      </c>
      <c r="J43" s="1" t="str">
        <f>IF($L43="","",INDEX(Ref_AccountRules,$L43,4))</f>
        <v/>
      </c>
      <c r="K43" s="1" t="str">
        <f>IF($L43="","",INDEX(Ref_AccountRules,$L43,5))</f>
        <v/>
      </c>
      <c r="L43" s="1" t="str">
        <f t="shared" si="3"/>
        <v/>
      </c>
    </row>
    <row r="44" spans="2:12" x14ac:dyDescent="0.35">
      <c r="B44" s="12"/>
      <c r="C44" s="11"/>
      <c r="D44" s="11"/>
      <c r="E44" s="11"/>
      <c r="F44" s="1" t="str">
        <f t="shared" si="0"/>
        <v/>
      </c>
      <c r="G44" s="1" t="str">
        <f t="shared" si="1"/>
        <v/>
      </c>
      <c r="H44" s="1" t="str">
        <f t="shared" si="2"/>
        <v/>
      </c>
      <c r="I44" s="1" t="str">
        <f>IF($L44="","",INDEX(Ref_AccountRules,$L44,3))</f>
        <v/>
      </c>
      <c r="J44" s="1" t="str">
        <f>IF($L44="","",INDEX(Ref_AccountRules,$L44,4))</f>
        <v/>
      </c>
      <c r="K44" s="1" t="str">
        <f>IF($L44="","",INDEX(Ref_AccountRules,$L44,5))</f>
        <v/>
      </c>
      <c r="L44" s="1" t="str">
        <f t="shared" si="3"/>
        <v/>
      </c>
    </row>
    <row r="45" spans="2:12" x14ac:dyDescent="0.35">
      <c r="B45" s="12"/>
      <c r="C45" s="11"/>
      <c r="D45" s="11"/>
      <c r="E45" s="11"/>
      <c r="F45" s="1" t="str">
        <f t="shared" si="0"/>
        <v/>
      </c>
      <c r="G45" s="1" t="str">
        <f t="shared" si="1"/>
        <v/>
      </c>
      <c r="H45" s="1" t="str">
        <f t="shared" si="2"/>
        <v/>
      </c>
      <c r="I45" s="1" t="str">
        <f>IF($L45="","",INDEX(Ref_AccountRules,$L45,3))</f>
        <v/>
      </c>
      <c r="J45" s="1" t="str">
        <f>IF($L45="","",INDEX(Ref_AccountRules,$L45,4))</f>
        <v/>
      </c>
      <c r="K45" s="1" t="str">
        <f>IF($L45="","",INDEX(Ref_AccountRules,$L45,5))</f>
        <v/>
      </c>
      <c r="L45" s="1" t="str">
        <f t="shared" si="3"/>
        <v/>
      </c>
    </row>
    <row r="46" spans="2:12" x14ac:dyDescent="0.35">
      <c r="B46" s="12"/>
      <c r="C46" s="11"/>
      <c r="D46" s="11"/>
      <c r="E46" s="11"/>
      <c r="F46" s="1" t="str">
        <f t="shared" si="0"/>
        <v/>
      </c>
      <c r="G46" s="1" t="str">
        <f t="shared" si="1"/>
        <v/>
      </c>
      <c r="H46" s="1" t="str">
        <f t="shared" si="2"/>
        <v/>
      </c>
      <c r="I46" s="1" t="str">
        <f>IF($L46="","",INDEX(Ref_AccountRules,$L46,3))</f>
        <v/>
      </c>
      <c r="J46" s="1" t="str">
        <f>IF($L46="","",INDEX(Ref_AccountRules,$L46,4))</f>
        <v/>
      </c>
      <c r="K46" s="1" t="str">
        <f>IF($L46="","",INDEX(Ref_AccountRules,$L46,5))</f>
        <v/>
      </c>
      <c r="L46" s="1" t="str">
        <f t="shared" si="3"/>
        <v/>
      </c>
    </row>
    <row r="47" spans="2:12" x14ac:dyDescent="0.35">
      <c r="B47" s="12"/>
      <c r="C47" s="11"/>
      <c r="D47" s="11"/>
      <c r="E47" s="11"/>
      <c r="F47" s="1" t="str">
        <f t="shared" si="0"/>
        <v/>
      </c>
      <c r="G47" s="1" t="str">
        <f t="shared" si="1"/>
        <v/>
      </c>
      <c r="H47" s="1" t="str">
        <f t="shared" si="2"/>
        <v/>
      </c>
      <c r="I47" s="1" t="str">
        <f>IF($L47="","",INDEX(Ref_AccountRules,$L47,3))</f>
        <v/>
      </c>
      <c r="J47" s="1" t="str">
        <f>IF($L47="","",INDEX(Ref_AccountRules,$L47,4))</f>
        <v/>
      </c>
      <c r="K47" s="1" t="str">
        <f>IF($L47="","",INDEX(Ref_AccountRules,$L47,5))</f>
        <v/>
      </c>
      <c r="L47" s="1" t="str">
        <f t="shared" si="3"/>
        <v/>
      </c>
    </row>
    <row r="48" spans="2:12" x14ac:dyDescent="0.35">
      <c r="B48" s="12"/>
      <c r="C48" s="11"/>
      <c r="D48" s="11"/>
      <c r="E48" s="11"/>
      <c r="F48" s="1" t="str">
        <f t="shared" si="0"/>
        <v/>
      </c>
      <c r="G48" s="1" t="str">
        <f t="shared" si="1"/>
        <v/>
      </c>
      <c r="H48" s="1" t="str">
        <f t="shared" si="2"/>
        <v/>
      </c>
      <c r="I48" s="1" t="str">
        <f>IF($L48="","",INDEX(Ref_AccountRules,$L48,3))</f>
        <v/>
      </c>
      <c r="J48" s="1" t="str">
        <f>IF($L48="","",INDEX(Ref_AccountRules,$L48,4))</f>
        <v/>
      </c>
      <c r="K48" s="1" t="str">
        <f>IF($L48="","",INDEX(Ref_AccountRules,$L48,5))</f>
        <v/>
      </c>
      <c r="L48" s="1" t="str">
        <f t="shared" si="3"/>
        <v/>
      </c>
    </row>
    <row r="49" spans="2:12" x14ac:dyDescent="0.35">
      <c r="B49" s="12"/>
      <c r="C49" s="11"/>
      <c r="D49" s="11"/>
      <c r="E49" s="11"/>
      <c r="F49" s="1" t="str">
        <f t="shared" si="0"/>
        <v/>
      </c>
      <c r="G49" s="1" t="str">
        <f t="shared" si="1"/>
        <v/>
      </c>
      <c r="H49" s="1" t="str">
        <f t="shared" si="2"/>
        <v/>
      </c>
      <c r="I49" s="1" t="str">
        <f>IF($L49="","",INDEX(Ref_AccountRules,$L49,3))</f>
        <v/>
      </c>
      <c r="J49" s="1" t="str">
        <f>IF($L49="","",INDEX(Ref_AccountRules,$L49,4))</f>
        <v/>
      </c>
      <c r="K49" s="1" t="str">
        <f>IF($L49="","",INDEX(Ref_AccountRules,$L49,5))</f>
        <v/>
      </c>
      <c r="L49" s="1" t="str">
        <f t="shared" si="3"/>
        <v/>
      </c>
    </row>
    <row r="50" spans="2:12" x14ac:dyDescent="0.35">
      <c r="B50" s="12"/>
      <c r="C50" s="11"/>
      <c r="D50" s="11"/>
      <c r="E50" s="11"/>
      <c r="F50" s="1" t="str">
        <f t="shared" si="0"/>
        <v/>
      </c>
      <c r="G50" s="1" t="str">
        <f t="shared" si="1"/>
        <v/>
      </c>
      <c r="H50" s="1" t="str">
        <f t="shared" si="2"/>
        <v/>
      </c>
      <c r="I50" s="1" t="str">
        <f>IF($L50="","",INDEX(Ref_AccountRules,$L50,3))</f>
        <v/>
      </c>
      <c r="J50" s="1" t="str">
        <f>IF($L50="","",INDEX(Ref_AccountRules,$L50,4))</f>
        <v/>
      </c>
      <c r="K50" s="1" t="str">
        <f>IF($L50="","",INDEX(Ref_AccountRules,$L50,5))</f>
        <v/>
      </c>
      <c r="L50" s="1" t="str">
        <f t="shared" si="3"/>
        <v/>
      </c>
    </row>
    <row r="51" spans="2:12" x14ac:dyDescent="0.35">
      <c r="B51" s="12"/>
      <c r="C51" s="11"/>
      <c r="D51" s="11"/>
      <c r="E51" s="11"/>
      <c r="F51" s="1" t="str">
        <f t="shared" si="0"/>
        <v/>
      </c>
      <c r="G51" s="1" t="str">
        <f t="shared" si="1"/>
        <v/>
      </c>
      <c r="H51" s="1" t="str">
        <f t="shared" si="2"/>
        <v/>
      </c>
      <c r="I51" s="1" t="str">
        <f>IF($L51="","",INDEX(Ref_AccountRules,$L51,3))</f>
        <v/>
      </c>
      <c r="J51" s="1" t="str">
        <f>IF($L51="","",INDEX(Ref_AccountRules,$L51,4))</f>
        <v/>
      </c>
      <c r="K51" s="1" t="str">
        <f>IF($L51="","",INDEX(Ref_AccountRules,$L51,5))</f>
        <v/>
      </c>
      <c r="L51" s="1" t="str">
        <f t="shared" si="3"/>
        <v/>
      </c>
    </row>
    <row r="52" spans="2:12" x14ac:dyDescent="0.35">
      <c r="B52" s="12"/>
      <c r="C52" s="11"/>
      <c r="D52" s="11"/>
      <c r="E52" s="11"/>
      <c r="F52" s="1" t="str">
        <f t="shared" si="0"/>
        <v/>
      </c>
      <c r="G52" s="1" t="str">
        <f t="shared" si="1"/>
        <v/>
      </c>
      <c r="H52" s="1" t="str">
        <f t="shared" si="2"/>
        <v/>
      </c>
      <c r="I52" s="1" t="str">
        <f>IF($L52="","",INDEX(Ref_AccountRules,$L52,3))</f>
        <v/>
      </c>
      <c r="J52" s="1" t="str">
        <f>IF($L52="","",INDEX(Ref_AccountRules,$L52,4))</f>
        <v/>
      </c>
      <c r="K52" s="1" t="str">
        <f>IF($L52="","",INDEX(Ref_AccountRules,$L52,5))</f>
        <v/>
      </c>
      <c r="L52" s="1" t="str">
        <f t="shared" si="3"/>
        <v/>
      </c>
    </row>
    <row r="53" spans="2:12" x14ac:dyDescent="0.35">
      <c r="B53" s="12"/>
      <c r="C53" s="11"/>
      <c r="D53" s="11"/>
      <c r="E53" s="11"/>
      <c r="F53" s="1" t="str">
        <f t="shared" si="0"/>
        <v/>
      </c>
      <c r="G53" s="1" t="str">
        <f t="shared" si="1"/>
        <v/>
      </c>
      <c r="H53" s="1" t="str">
        <f t="shared" si="2"/>
        <v/>
      </c>
      <c r="I53" s="1" t="str">
        <f>IF($L53="","",INDEX(Ref_AccountRules,$L53,3))</f>
        <v/>
      </c>
      <c r="J53" s="1" t="str">
        <f>IF($L53="","",INDEX(Ref_AccountRules,$L53,4))</f>
        <v/>
      </c>
      <c r="K53" s="1" t="str">
        <f>IF($L53="","",INDEX(Ref_AccountRules,$L53,5))</f>
        <v/>
      </c>
      <c r="L53" s="1" t="str">
        <f t="shared" si="3"/>
        <v/>
      </c>
    </row>
    <row r="54" spans="2:12" x14ac:dyDescent="0.35">
      <c r="B54" s="12"/>
      <c r="C54" s="11"/>
      <c r="D54" s="11"/>
      <c r="E54" s="11"/>
      <c r="F54" s="1" t="str">
        <f t="shared" si="0"/>
        <v/>
      </c>
      <c r="G54" s="1" t="str">
        <f t="shared" si="1"/>
        <v/>
      </c>
      <c r="H54" s="1" t="str">
        <f t="shared" si="2"/>
        <v/>
      </c>
      <c r="I54" s="1" t="str">
        <f>IF($L54="","",INDEX(Ref_AccountRules,$L54,3))</f>
        <v/>
      </c>
      <c r="J54" s="1" t="str">
        <f>IF($L54="","",INDEX(Ref_AccountRules,$L54,4))</f>
        <v/>
      </c>
      <c r="K54" s="1" t="str">
        <f>IF($L54="","",INDEX(Ref_AccountRules,$L54,5))</f>
        <v/>
      </c>
      <c r="L54" s="1" t="str">
        <f t="shared" si="3"/>
        <v/>
      </c>
    </row>
    <row r="55" spans="2:12" x14ac:dyDescent="0.35">
      <c r="B55" s="12"/>
      <c r="C55" s="11"/>
      <c r="D55" s="11"/>
      <c r="E55" s="11"/>
      <c r="F55" s="1" t="str">
        <f t="shared" si="0"/>
        <v/>
      </c>
      <c r="G55" s="1" t="str">
        <f t="shared" si="1"/>
        <v/>
      </c>
      <c r="H55" s="1" t="str">
        <f t="shared" si="2"/>
        <v/>
      </c>
      <c r="I55" s="1" t="str">
        <f>IF($L55="","",INDEX(Ref_AccountRules,$L55,3))</f>
        <v/>
      </c>
      <c r="J55" s="1" t="str">
        <f>IF($L55="","",INDEX(Ref_AccountRules,$L55,4))</f>
        <v/>
      </c>
      <c r="K55" s="1" t="str">
        <f>IF($L55="","",INDEX(Ref_AccountRules,$L55,5))</f>
        <v/>
      </c>
      <c r="L55" s="1" t="str">
        <f t="shared" si="3"/>
        <v/>
      </c>
    </row>
    <row r="56" spans="2:12" x14ac:dyDescent="0.35">
      <c r="B56" s="12"/>
      <c r="C56" s="11"/>
      <c r="D56" s="11"/>
      <c r="E56" s="11"/>
      <c r="F56" s="1" t="str">
        <f t="shared" si="0"/>
        <v/>
      </c>
      <c r="G56" s="1" t="str">
        <f t="shared" si="1"/>
        <v/>
      </c>
      <c r="H56" s="1" t="str">
        <f t="shared" si="2"/>
        <v/>
      </c>
      <c r="I56" s="1" t="str">
        <f>IF($L56="","",INDEX(Ref_AccountRules,$L56,3))</f>
        <v/>
      </c>
      <c r="J56" s="1" t="str">
        <f>IF($L56="","",INDEX(Ref_AccountRules,$L56,4))</f>
        <v/>
      </c>
      <c r="K56" s="1" t="str">
        <f>IF($L56="","",INDEX(Ref_AccountRules,$L56,5))</f>
        <v/>
      </c>
      <c r="L56" s="1" t="str">
        <f t="shared" si="3"/>
        <v/>
      </c>
    </row>
    <row r="57" spans="2:12" x14ac:dyDescent="0.35">
      <c r="B57" s="12"/>
      <c r="C57" s="11"/>
      <c r="D57" s="11"/>
      <c r="E57" s="11"/>
      <c r="F57" s="1" t="str">
        <f t="shared" si="0"/>
        <v/>
      </c>
      <c r="G57" s="1" t="str">
        <f t="shared" si="1"/>
        <v/>
      </c>
      <c r="H57" s="1" t="str">
        <f t="shared" si="2"/>
        <v/>
      </c>
      <c r="I57" s="1" t="str">
        <f>IF($L57="","",INDEX(Ref_AccountRules,$L57,3))</f>
        <v/>
      </c>
      <c r="J57" s="1" t="str">
        <f>IF($L57="","",INDEX(Ref_AccountRules,$L57,4))</f>
        <v/>
      </c>
      <c r="K57" s="1" t="str">
        <f>IF($L57="","",INDEX(Ref_AccountRules,$L57,5))</f>
        <v/>
      </c>
      <c r="L57" s="1" t="str">
        <f t="shared" si="3"/>
        <v/>
      </c>
    </row>
    <row r="58" spans="2:12" x14ac:dyDescent="0.35">
      <c r="B58" s="12"/>
      <c r="C58" s="11"/>
      <c r="D58" s="11"/>
      <c r="E58" s="11"/>
      <c r="F58" s="1" t="str">
        <f t="shared" si="0"/>
        <v/>
      </c>
      <c r="G58" s="1" t="str">
        <f t="shared" si="1"/>
        <v/>
      </c>
      <c r="H58" s="1" t="str">
        <f t="shared" si="2"/>
        <v/>
      </c>
      <c r="I58" s="1" t="str">
        <f>IF($L58="","",INDEX(Ref_AccountRules,$L58,3))</f>
        <v/>
      </c>
      <c r="J58" s="1" t="str">
        <f>IF($L58="","",INDEX(Ref_AccountRules,$L58,4))</f>
        <v/>
      </c>
      <c r="K58" s="1" t="str">
        <f>IF($L58="","",INDEX(Ref_AccountRules,$L58,5))</f>
        <v/>
      </c>
      <c r="L58" s="1" t="str">
        <f t="shared" si="3"/>
        <v/>
      </c>
    </row>
    <row r="59" spans="2:12" x14ac:dyDescent="0.35">
      <c r="B59" s="12"/>
      <c r="C59" s="11"/>
      <c r="D59" s="11"/>
      <c r="E59" s="11"/>
      <c r="F59" s="1" t="str">
        <f t="shared" si="0"/>
        <v/>
      </c>
      <c r="G59" s="1" t="str">
        <f t="shared" si="1"/>
        <v/>
      </c>
      <c r="H59" s="1" t="str">
        <f t="shared" si="2"/>
        <v/>
      </c>
      <c r="I59" s="1" t="str">
        <f>IF($L59="","",INDEX(Ref_AccountRules,$L59,3))</f>
        <v/>
      </c>
      <c r="J59" s="1" t="str">
        <f>IF($L59="","",INDEX(Ref_AccountRules,$L59,4))</f>
        <v/>
      </c>
      <c r="K59" s="1" t="str">
        <f>IF($L59="","",INDEX(Ref_AccountRules,$L59,5))</f>
        <v/>
      </c>
      <c r="L59" s="1" t="str">
        <f t="shared" si="3"/>
        <v/>
      </c>
    </row>
    <row r="60" spans="2:12" x14ac:dyDescent="0.35">
      <c r="B60" s="12"/>
      <c r="C60" s="11"/>
      <c r="D60" s="11"/>
      <c r="E60" s="11"/>
      <c r="F60" s="1" t="str">
        <f t="shared" si="0"/>
        <v/>
      </c>
      <c r="G60" s="1" t="str">
        <f t="shared" si="1"/>
        <v/>
      </c>
      <c r="H60" s="1" t="str">
        <f t="shared" si="2"/>
        <v/>
      </c>
      <c r="I60" s="1" t="str">
        <f>IF($L60="","",INDEX(Ref_AccountRules,$L60,3))</f>
        <v/>
      </c>
      <c r="J60" s="1" t="str">
        <f>IF($L60="","",INDEX(Ref_AccountRules,$L60,4))</f>
        <v/>
      </c>
      <c r="K60" s="1" t="str">
        <f>IF($L60="","",INDEX(Ref_AccountRules,$L60,5))</f>
        <v/>
      </c>
      <c r="L60" s="1" t="str">
        <f t="shared" si="3"/>
        <v/>
      </c>
    </row>
    <row r="61" spans="2:12" x14ac:dyDescent="0.35">
      <c r="B61" s="12"/>
      <c r="C61" s="11"/>
      <c r="D61" s="11"/>
      <c r="E61" s="11"/>
      <c r="F61" s="1" t="str">
        <f t="shared" si="0"/>
        <v/>
      </c>
      <c r="G61" s="1" t="str">
        <f t="shared" si="1"/>
        <v/>
      </c>
      <c r="H61" s="1" t="str">
        <f t="shared" si="2"/>
        <v/>
      </c>
      <c r="I61" s="1" t="str">
        <f>IF($L61="","",INDEX(Ref_AccountRules,$L61,3))</f>
        <v/>
      </c>
      <c r="J61" s="1" t="str">
        <f>IF($L61="","",INDEX(Ref_AccountRules,$L61,4))</f>
        <v/>
      </c>
      <c r="K61" s="1" t="str">
        <f>IF($L61="","",INDEX(Ref_AccountRules,$L61,5))</f>
        <v/>
      </c>
      <c r="L61" s="1" t="str">
        <f t="shared" si="3"/>
        <v/>
      </c>
    </row>
    <row r="62" spans="2:12" x14ac:dyDescent="0.35">
      <c r="B62" s="12"/>
      <c r="C62" s="11"/>
      <c r="D62" s="11"/>
      <c r="E62" s="11"/>
      <c r="F62" s="1" t="str">
        <f t="shared" si="0"/>
        <v/>
      </c>
      <c r="G62" s="1" t="str">
        <f t="shared" si="1"/>
        <v/>
      </c>
      <c r="H62" s="1" t="str">
        <f t="shared" si="2"/>
        <v/>
      </c>
      <c r="I62" s="1" t="str">
        <f>IF($L62="","",INDEX(Ref_AccountRules,$L62,3))</f>
        <v/>
      </c>
      <c r="J62" s="1" t="str">
        <f>IF($L62="","",INDEX(Ref_AccountRules,$L62,4))</f>
        <v/>
      </c>
      <c r="K62" s="1" t="str">
        <f>IF($L62="","",INDEX(Ref_AccountRules,$L62,5))</f>
        <v/>
      </c>
      <c r="L62" s="1" t="str">
        <f t="shared" si="3"/>
        <v/>
      </c>
    </row>
    <row r="63" spans="2:12" x14ac:dyDescent="0.35">
      <c r="B63" s="12"/>
      <c r="C63" s="11"/>
      <c r="D63" s="11"/>
      <c r="E63" s="11"/>
      <c r="F63" s="1" t="str">
        <f t="shared" si="0"/>
        <v/>
      </c>
      <c r="G63" s="1" t="str">
        <f t="shared" si="1"/>
        <v/>
      </c>
      <c r="H63" s="1" t="str">
        <f t="shared" si="2"/>
        <v/>
      </c>
      <c r="I63" s="1" t="str">
        <f>IF($L63="","",INDEX(Ref_AccountRules,$L63,3))</f>
        <v/>
      </c>
      <c r="J63" s="1" t="str">
        <f>IF($L63="","",INDEX(Ref_AccountRules,$L63,4))</f>
        <v/>
      </c>
      <c r="K63" s="1" t="str">
        <f>IF($L63="","",INDEX(Ref_AccountRules,$L63,5))</f>
        <v/>
      </c>
      <c r="L63" s="1" t="str">
        <f t="shared" si="3"/>
        <v/>
      </c>
    </row>
    <row r="64" spans="2:12" x14ac:dyDescent="0.35">
      <c r="B64" s="12"/>
      <c r="C64" s="11"/>
      <c r="D64" s="11"/>
      <c r="E64" s="11"/>
      <c r="F64" s="1" t="str">
        <f t="shared" si="0"/>
        <v/>
      </c>
      <c r="G64" s="1" t="str">
        <f t="shared" si="1"/>
        <v/>
      </c>
      <c r="H64" s="1" t="str">
        <f t="shared" si="2"/>
        <v/>
      </c>
      <c r="I64" s="1" t="str">
        <f>IF($L64="","",INDEX(Ref_AccountRules,$L64,3))</f>
        <v/>
      </c>
      <c r="J64" s="1" t="str">
        <f>IF($L64="","",INDEX(Ref_AccountRules,$L64,4))</f>
        <v/>
      </c>
      <c r="K64" s="1" t="str">
        <f>IF($L64="","",INDEX(Ref_AccountRules,$L64,5))</f>
        <v/>
      </c>
      <c r="L64" s="1" t="str">
        <f t="shared" si="3"/>
        <v/>
      </c>
    </row>
    <row r="65" spans="2:12" x14ac:dyDescent="0.35">
      <c r="B65" s="12"/>
      <c r="C65" s="11"/>
      <c r="D65" s="11"/>
      <c r="E65" s="11"/>
      <c r="F65" s="1" t="str">
        <f t="shared" si="0"/>
        <v/>
      </c>
      <c r="G65" s="1" t="str">
        <f t="shared" si="1"/>
        <v/>
      </c>
      <c r="H65" s="1" t="str">
        <f t="shared" si="2"/>
        <v/>
      </c>
      <c r="I65" s="1" t="str">
        <f>IF($L65="","",INDEX(Ref_AccountRules,$L65,3))</f>
        <v/>
      </c>
      <c r="J65" s="1" t="str">
        <f>IF($L65="","",INDEX(Ref_AccountRules,$L65,4))</f>
        <v/>
      </c>
      <c r="K65" s="1" t="str">
        <f>IF($L65="","",INDEX(Ref_AccountRules,$L65,5))</f>
        <v/>
      </c>
      <c r="L65" s="1" t="str">
        <f t="shared" si="3"/>
        <v/>
      </c>
    </row>
    <row r="66" spans="2:12" x14ac:dyDescent="0.35">
      <c r="B66" s="12"/>
      <c r="C66" s="11"/>
      <c r="D66" s="11"/>
      <c r="E66" s="11"/>
      <c r="F66" s="1" t="str">
        <f t="shared" si="0"/>
        <v/>
      </c>
      <c r="G66" s="1" t="str">
        <f t="shared" si="1"/>
        <v/>
      </c>
      <c r="H66" s="1" t="str">
        <f t="shared" si="2"/>
        <v/>
      </c>
      <c r="I66" s="1" t="str">
        <f>IF($L66="","",INDEX(Ref_AccountRules,$L66,3))</f>
        <v/>
      </c>
      <c r="J66" s="1" t="str">
        <f>IF($L66="","",INDEX(Ref_AccountRules,$L66,4))</f>
        <v/>
      </c>
      <c r="K66" s="1" t="str">
        <f>IF($L66="","",INDEX(Ref_AccountRules,$L66,5))</f>
        <v/>
      </c>
      <c r="L66" s="1" t="str">
        <f t="shared" si="3"/>
        <v/>
      </c>
    </row>
    <row r="67" spans="2:12" x14ac:dyDescent="0.35">
      <c r="B67" s="12"/>
      <c r="C67" s="11"/>
      <c r="D67" s="11"/>
      <c r="E67" s="11"/>
      <c r="F67" s="1" t="str">
        <f t="shared" si="0"/>
        <v/>
      </c>
      <c r="G67" s="1" t="str">
        <f t="shared" si="1"/>
        <v/>
      </c>
      <c r="H67" s="1" t="str">
        <f t="shared" si="2"/>
        <v/>
      </c>
      <c r="I67" s="1" t="str">
        <f>IF($L67="","",INDEX(Ref_AccountRules,$L67,3))</f>
        <v/>
      </c>
      <c r="J67" s="1" t="str">
        <f>IF($L67="","",INDEX(Ref_AccountRules,$L67,4))</f>
        <v/>
      </c>
      <c r="K67" s="1" t="str">
        <f>IF($L67="","",INDEX(Ref_AccountRules,$L67,5))</f>
        <v/>
      </c>
      <c r="L67" s="1" t="str">
        <f t="shared" si="3"/>
        <v/>
      </c>
    </row>
    <row r="68" spans="2:12" x14ac:dyDescent="0.35">
      <c r="B68" s="12"/>
      <c r="C68" s="11"/>
      <c r="D68" s="11"/>
      <c r="E68" s="11"/>
      <c r="F68" s="1" t="str">
        <f t="shared" si="0"/>
        <v/>
      </c>
      <c r="G68" s="1" t="str">
        <f t="shared" si="1"/>
        <v/>
      </c>
      <c r="H68" s="1" t="str">
        <f t="shared" si="2"/>
        <v/>
      </c>
      <c r="I68" s="1" t="str">
        <f>IF($L68="","",INDEX(Ref_AccountRules,$L68,3))</f>
        <v/>
      </c>
      <c r="J68" s="1" t="str">
        <f>IF($L68="","",INDEX(Ref_AccountRules,$L68,4))</f>
        <v/>
      </c>
      <c r="K68" s="1" t="str">
        <f>IF($L68="","",INDEX(Ref_AccountRules,$L68,5))</f>
        <v/>
      </c>
      <c r="L68" s="1" t="str">
        <f t="shared" si="3"/>
        <v/>
      </c>
    </row>
    <row r="69" spans="2:12" x14ac:dyDescent="0.35">
      <c r="B69" s="12"/>
      <c r="C69" s="11"/>
      <c r="D69" s="11"/>
      <c r="E69" s="11"/>
      <c r="F69" s="1" t="str">
        <f t="shared" si="0"/>
        <v/>
      </c>
      <c r="G69" s="1" t="str">
        <f t="shared" si="1"/>
        <v/>
      </c>
      <c r="H69" s="1" t="str">
        <f t="shared" si="2"/>
        <v/>
      </c>
      <c r="I69" s="1" t="str">
        <f>IF($L69="","",INDEX(Ref_AccountRules,$L69,3))</f>
        <v/>
      </c>
      <c r="J69" s="1" t="str">
        <f>IF($L69="","",INDEX(Ref_AccountRules,$L69,4))</f>
        <v/>
      </c>
      <c r="K69" s="1" t="str">
        <f>IF($L69="","",INDEX(Ref_AccountRules,$L69,5))</f>
        <v/>
      </c>
      <c r="L69" s="1" t="str">
        <f t="shared" si="3"/>
        <v/>
      </c>
    </row>
    <row r="70" spans="2:12" x14ac:dyDescent="0.35">
      <c r="B70" s="12"/>
      <c r="C70" s="11"/>
      <c r="D70" s="11"/>
      <c r="E70" s="11"/>
      <c r="F70" s="1" t="str">
        <f t="shared" si="0"/>
        <v/>
      </c>
      <c r="G70" s="1" t="str">
        <f t="shared" si="1"/>
        <v/>
      </c>
      <c r="H70" s="1" t="str">
        <f t="shared" si="2"/>
        <v/>
      </c>
      <c r="I70" s="1" t="str">
        <f>IF($L70="","",INDEX(Ref_AccountRules,$L70,3))</f>
        <v/>
      </c>
      <c r="J70" s="1" t="str">
        <f>IF($L70="","",INDEX(Ref_AccountRules,$L70,4))</f>
        <v/>
      </c>
      <c r="K70" s="1" t="str">
        <f>IF($L70="","",INDEX(Ref_AccountRules,$L70,5))</f>
        <v/>
      </c>
      <c r="L70" s="1" t="str">
        <f t="shared" si="3"/>
        <v/>
      </c>
    </row>
    <row r="71" spans="2:12" x14ac:dyDescent="0.35">
      <c r="B71" s="12"/>
      <c r="C71" s="11"/>
      <c r="D71" s="11"/>
      <c r="E71" s="11"/>
      <c r="F71" s="1" t="str">
        <f t="shared" si="0"/>
        <v/>
      </c>
      <c r="G71" s="1" t="str">
        <f t="shared" si="1"/>
        <v/>
      </c>
      <c r="H71" s="1" t="str">
        <f t="shared" si="2"/>
        <v/>
      </c>
      <c r="I71" s="1" t="str">
        <f>IF($L71="","",INDEX(Ref_AccountRules,$L71,3))</f>
        <v/>
      </c>
      <c r="J71" s="1" t="str">
        <f>IF($L71="","",INDEX(Ref_AccountRules,$L71,4))</f>
        <v/>
      </c>
      <c r="K71" s="1" t="str">
        <f>IF($L71="","",INDEX(Ref_AccountRules,$L71,5))</f>
        <v/>
      </c>
      <c r="L71" s="1" t="str">
        <f t="shared" si="3"/>
        <v/>
      </c>
    </row>
    <row r="72" spans="2:12" x14ac:dyDescent="0.35">
      <c r="B72" s="12"/>
      <c r="C72" s="11"/>
      <c r="D72" s="11"/>
      <c r="E72" s="11"/>
      <c r="F72" s="1" t="str">
        <f t="shared" si="0"/>
        <v/>
      </c>
      <c r="G72" s="1" t="str">
        <f t="shared" si="1"/>
        <v/>
      </c>
      <c r="H72" s="1" t="str">
        <f t="shared" si="2"/>
        <v/>
      </c>
      <c r="I72" s="1" t="str">
        <f>IF($L72="","",INDEX(Ref_AccountRules,$L72,3))</f>
        <v/>
      </c>
      <c r="J72" s="1" t="str">
        <f>IF($L72="","",INDEX(Ref_AccountRules,$L72,4))</f>
        <v/>
      </c>
      <c r="K72" s="1" t="str">
        <f>IF($L72="","",INDEX(Ref_AccountRules,$L72,5))</f>
        <v/>
      </c>
      <c r="L72" s="1" t="str">
        <f t="shared" si="3"/>
        <v/>
      </c>
    </row>
    <row r="73" spans="2:12" x14ac:dyDescent="0.35">
      <c r="B73" s="12"/>
      <c r="C73" s="11"/>
      <c r="D73" s="11"/>
      <c r="E73" s="11"/>
      <c r="F73" s="1" t="str">
        <f t="shared" si="0"/>
        <v/>
      </c>
      <c r="G73" s="1" t="str">
        <f t="shared" si="1"/>
        <v/>
      </c>
      <c r="H73" s="1" t="str">
        <f t="shared" si="2"/>
        <v/>
      </c>
      <c r="I73" s="1" t="str">
        <f>IF($L73="","",INDEX(Ref_AccountRules,$L73,3))</f>
        <v/>
      </c>
      <c r="J73" s="1" t="str">
        <f>IF($L73="","",INDEX(Ref_AccountRules,$L73,4))</f>
        <v/>
      </c>
      <c r="K73" s="1" t="str">
        <f>IF($L73="","",INDEX(Ref_AccountRules,$L73,5))</f>
        <v/>
      </c>
      <c r="L73" s="1" t="str">
        <f t="shared" si="3"/>
        <v/>
      </c>
    </row>
    <row r="74" spans="2:12" x14ac:dyDescent="0.35">
      <c r="B74" s="12"/>
      <c r="C74" s="11"/>
      <c r="D74" s="11"/>
      <c r="E74" s="11"/>
      <c r="F74" s="1" t="str">
        <f t="shared" si="0"/>
        <v/>
      </c>
      <c r="G74" s="1" t="str">
        <f t="shared" si="1"/>
        <v/>
      </c>
      <c r="H74" s="1" t="str">
        <f t="shared" si="2"/>
        <v/>
      </c>
      <c r="I74" s="1" t="str">
        <f>IF($L74="","",INDEX(Ref_AccountRules,$L74,3))</f>
        <v/>
      </c>
      <c r="J74" s="1" t="str">
        <f>IF($L74="","",INDEX(Ref_AccountRules,$L74,4))</f>
        <v/>
      </c>
      <c r="K74" s="1" t="str">
        <f>IF($L74="","",INDEX(Ref_AccountRules,$L74,5))</f>
        <v/>
      </c>
      <c r="L74" s="1" t="str">
        <f t="shared" si="3"/>
        <v/>
      </c>
    </row>
    <row r="75" spans="2:12" x14ac:dyDescent="0.35">
      <c r="B75" s="12"/>
      <c r="C75" s="11"/>
      <c r="D75" s="11"/>
      <c r="E75" s="11"/>
      <c r="F75" s="1" t="str">
        <f t="shared" ref="F75:F138" si="4">IF($B75="","",E75-D75)</f>
        <v/>
      </c>
      <c r="G75" s="1" t="str">
        <f t="shared" ref="G75:G138" si="5">IF($B75="","",IF(D75=0,0,(E75-D75)/ABS(D75)*100))</f>
        <v/>
      </c>
      <c r="H75" s="1" t="str">
        <f t="shared" ref="H75:H138" si="6">IF($B75="","",IF(LEFT($B75,6)="606880","emballages",IF(LEFT($B75,4)="6068","emballages",IF(LEFT($B75,3)="606","energie_dechets",IF(LEFT($B75,3)="164","tresorerie_financement",IF(LEFT($B75,2)="20","immobilisations",IF(LEFT($B75,2)="21","immobilisations",IF(LEFT($B75,2)="22","immobilisations",IF(LEFT($B75,2)="23","immobilisations",IF(LEFT($B75,2)="28","immobilisations",IF(LEFT($B75,2)="40","fournisseurs",IF(LEFT($B75,2)="41","clients",IF(LEFT($B75,2)="32","stocks",IF(LEFT($B75,2)="60","charges",IF(LEFT($B75,2)="61","services",IF(LEFT($B75,2)="62","personnel",IF(LEFT($B75,2)="63","fiscal",IF(LEFT($B75,2)="64","financier","autres"))))))))))))))))))</f>
        <v/>
      </c>
      <c r="I75" s="1" t="str">
        <f>IF($L75="","",INDEX(Ref_AccountRules,$L75,3))</f>
        <v/>
      </c>
      <c r="J75" s="1" t="str">
        <f>IF($L75="","",INDEX(Ref_AccountRules,$L75,4))</f>
        <v/>
      </c>
      <c r="K75" s="1" t="str">
        <f>IF($L75="","",INDEX(Ref_AccountRules,$L75,5))</f>
        <v/>
      </c>
      <c r="L75" s="1" t="str">
        <f t="shared" ref="L75:L138" si="7">IF($B75="","",IF(LEFT($B75,3)="215",1,IF(LEFT($B75,4)="2183",2,IF(LEFT($B75,3)="401",3,IF(LEFT($B75,3)="411",4,IF(LEFT($B75,3)="322",5,IF(LEFT($B75,4)="3220",6,IF(LEFT($B75,5)="32200",7,IF(LEFT($B75,3)="625",8,IF(LEFT($B75,3)="606",9,IF(LEFT($B75,3)="164",10,IF(LEFT($B75,6)="606880",11,""))))))))))))</f>
        <v/>
      </c>
    </row>
    <row r="76" spans="2:12" x14ac:dyDescent="0.35">
      <c r="B76" s="12"/>
      <c r="C76" s="11"/>
      <c r="D76" s="11"/>
      <c r="E76" s="11"/>
      <c r="F76" s="1" t="str">
        <f t="shared" si="4"/>
        <v/>
      </c>
      <c r="G76" s="1" t="str">
        <f t="shared" si="5"/>
        <v/>
      </c>
      <c r="H76" s="1" t="str">
        <f t="shared" si="6"/>
        <v/>
      </c>
      <c r="I76" s="1" t="str">
        <f>IF($L76="","",INDEX(Ref_AccountRules,$L76,3))</f>
        <v/>
      </c>
      <c r="J76" s="1" t="str">
        <f>IF($L76="","",INDEX(Ref_AccountRules,$L76,4))</f>
        <v/>
      </c>
      <c r="K76" s="1" t="str">
        <f>IF($L76="","",INDEX(Ref_AccountRules,$L76,5))</f>
        <v/>
      </c>
      <c r="L76" s="1" t="str">
        <f t="shared" si="7"/>
        <v/>
      </c>
    </row>
    <row r="77" spans="2:12" x14ac:dyDescent="0.35">
      <c r="B77" s="12"/>
      <c r="C77" s="11"/>
      <c r="D77" s="11"/>
      <c r="E77" s="11"/>
      <c r="F77" s="1" t="str">
        <f t="shared" si="4"/>
        <v/>
      </c>
      <c r="G77" s="1" t="str">
        <f t="shared" si="5"/>
        <v/>
      </c>
      <c r="H77" s="1" t="str">
        <f t="shared" si="6"/>
        <v/>
      </c>
      <c r="I77" s="1" t="str">
        <f>IF($L77="","",INDEX(Ref_AccountRules,$L77,3))</f>
        <v/>
      </c>
      <c r="J77" s="1" t="str">
        <f>IF($L77="","",INDEX(Ref_AccountRules,$L77,4))</f>
        <v/>
      </c>
      <c r="K77" s="1" t="str">
        <f>IF($L77="","",INDEX(Ref_AccountRules,$L77,5))</f>
        <v/>
      </c>
      <c r="L77" s="1" t="str">
        <f t="shared" si="7"/>
        <v/>
      </c>
    </row>
    <row r="78" spans="2:12" x14ac:dyDescent="0.35">
      <c r="B78" s="12"/>
      <c r="C78" s="11"/>
      <c r="D78" s="11"/>
      <c r="E78" s="11"/>
      <c r="F78" s="1" t="str">
        <f t="shared" si="4"/>
        <v/>
      </c>
      <c r="G78" s="1" t="str">
        <f t="shared" si="5"/>
        <v/>
      </c>
      <c r="H78" s="1" t="str">
        <f t="shared" si="6"/>
        <v/>
      </c>
      <c r="I78" s="1" t="str">
        <f>IF($L78="","",INDEX(Ref_AccountRules,$L78,3))</f>
        <v/>
      </c>
      <c r="J78" s="1" t="str">
        <f>IF($L78="","",INDEX(Ref_AccountRules,$L78,4))</f>
        <v/>
      </c>
      <c r="K78" s="1" t="str">
        <f>IF($L78="","",INDEX(Ref_AccountRules,$L78,5))</f>
        <v/>
      </c>
      <c r="L78" s="1" t="str">
        <f t="shared" si="7"/>
        <v/>
      </c>
    </row>
    <row r="79" spans="2:12" x14ac:dyDescent="0.35">
      <c r="B79" s="12"/>
      <c r="C79" s="11"/>
      <c r="D79" s="11"/>
      <c r="E79" s="11"/>
      <c r="F79" s="1" t="str">
        <f t="shared" si="4"/>
        <v/>
      </c>
      <c r="G79" s="1" t="str">
        <f t="shared" si="5"/>
        <v/>
      </c>
      <c r="H79" s="1" t="str">
        <f t="shared" si="6"/>
        <v/>
      </c>
      <c r="I79" s="1" t="str">
        <f>IF($L79="","",INDEX(Ref_AccountRules,$L79,3))</f>
        <v/>
      </c>
      <c r="J79" s="1" t="str">
        <f>IF($L79="","",INDEX(Ref_AccountRules,$L79,4))</f>
        <v/>
      </c>
      <c r="K79" s="1" t="str">
        <f>IF($L79="","",INDEX(Ref_AccountRules,$L79,5))</f>
        <v/>
      </c>
      <c r="L79" s="1" t="str">
        <f t="shared" si="7"/>
        <v/>
      </c>
    </row>
    <row r="80" spans="2:12" x14ac:dyDescent="0.35">
      <c r="B80" s="12"/>
      <c r="C80" s="11"/>
      <c r="D80" s="11"/>
      <c r="E80" s="11"/>
      <c r="F80" s="1" t="str">
        <f t="shared" si="4"/>
        <v/>
      </c>
      <c r="G80" s="1" t="str">
        <f t="shared" si="5"/>
        <v/>
      </c>
      <c r="H80" s="1" t="str">
        <f t="shared" si="6"/>
        <v/>
      </c>
      <c r="I80" s="1" t="str">
        <f>IF($L80="","",INDEX(Ref_AccountRules,$L80,3))</f>
        <v/>
      </c>
      <c r="J80" s="1" t="str">
        <f>IF($L80="","",INDEX(Ref_AccountRules,$L80,4))</f>
        <v/>
      </c>
      <c r="K80" s="1" t="str">
        <f>IF($L80="","",INDEX(Ref_AccountRules,$L80,5))</f>
        <v/>
      </c>
      <c r="L80" s="1" t="str">
        <f t="shared" si="7"/>
        <v/>
      </c>
    </row>
    <row r="81" spans="2:12" x14ac:dyDescent="0.35">
      <c r="B81" s="12"/>
      <c r="C81" s="11"/>
      <c r="D81" s="11"/>
      <c r="E81" s="11"/>
      <c r="F81" s="1" t="str">
        <f t="shared" si="4"/>
        <v/>
      </c>
      <c r="G81" s="1" t="str">
        <f t="shared" si="5"/>
        <v/>
      </c>
      <c r="H81" s="1" t="str">
        <f t="shared" si="6"/>
        <v/>
      </c>
      <c r="I81" s="1" t="str">
        <f>IF($L81="","",INDEX(Ref_AccountRules,$L81,3))</f>
        <v/>
      </c>
      <c r="J81" s="1" t="str">
        <f>IF($L81="","",INDEX(Ref_AccountRules,$L81,4))</f>
        <v/>
      </c>
      <c r="K81" s="1" t="str">
        <f>IF($L81="","",INDEX(Ref_AccountRules,$L81,5))</f>
        <v/>
      </c>
      <c r="L81" s="1" t="str">
        <f t="shared" si="7"/>
        <v/>
      </c>
    </row>
    <row r="82" spans="2:12" x14ac:dyDescent="0.35">
      <c r="B82" s="12"/>
      <c r="C82" s="11"/>
      <c r="D82" s="11"/>
      <c r="E82" s="11"/>
      <c r="F82" s="1" t="str">
        <f t="shared" si="4"/>
        <v/>
      </c>
      <c r="G82" s="1" t="str">
        <f t="shared" si="5"/>
        <v/>
      </c>
      <c r="H82" s="1" t="str">
        <f t="shared" si="6"/>
        <v/>
      </c>
      <c r="I82" s="1" t="str">
        <f>IF($L82="","",INDEX(Ref_AccountRules,$L82,3))</f>
        <v/>
      </c>
      <c r="J82" s="1" t="str">
        <f>IF($L82="","",INDEX(Ref_AccountRules,$L82,4))</f>
        <v/>
      </c>
      <c r="K82" s="1" t="str">
        <f>IF($L82="","",INDEX(Ref_AccountRules,$L82,5))</f>
        <v/>
      </c>
      <c r="L82" s="1" t="str">
        <f t="shared" si="7"/>
        <v/>
      </c>
    </row>
    <row r="83" spans="2:12" x14ac:dyDescent="0.35">
      <c r="B83" s="12"/>
      <c r="C83" s="11"/>
      <c r="D83" s="11"/>
      <c r="E83" s="11"/>
      <c r="F83" s="1" t="str">
        <f t="shared" si="4"/>
        <v/>
      </c>
      <c r="G83" s="1" t="str">
        <f t="shared" si="5"/>
        <v/>
      </c>
      <c r="H83" s="1" t="str">
        <f t="shared" si="6"/>
        <v/>
      </c>
      <c r="I83" s="1" t="str">
        <f>IF($L83="","",INDEX(Ref_AccountRules,$L83,3))</f>
        <v/>
      </c>
      <c r="J83" s="1" t="str">
        <f>IF($L83="","",INDEX(Ref_AccountRules,$L83,4))</f>
        <v/>
      </c>
      <c r="K83" s="1" t="str">
        <f>IF($L83="","",INDEX(Ref_AccountRules,$L83,5))</f>
        <v/>
      </c>
      <c r="L83" s="1" t="str">
        <f t="shared" si="7"/>
        <v/>
      </c>
    </row>
    <row r="84" spans="2:12" x14ac:dyDescent="0.35">
      <c r="B84" s="12"/>
      <c r="C84" s="11"/>
      <c r="D84" s="11"/>
      <c r="E84" s="11"/>
      <c r="F84" s="1" t="str">
        <f t="shared" si="4"/>
        <v/>
      </c>
      <c r="G84" s="1" t="str">
        <f t="shared" si="5"/>
        <v/>
      </c>
      <c r="H84" s="1" t="str">
        <f t="shared" si="6"/>
        <v/>
      </c>
      <c r="I84" s="1" t="str">
        <f>IF($L84="","",INDEX(Ref_AccountRules,$L84,3))</f>
        <v/>
      </c>
      <c r="J84" s="1" t="str">
        <f>IF($L84="","",INDEX(Ref_AccountRules,$L84,4))</f>
        <v/>
      </c>
      <c r="K84" s="1" t="str">
        <f>IF($L84="","",INDEX(Ref_AccountRules,$L84,5))</f>
        <v/>
      </c>
      <c r="L84" s="1" t="str">
        <f t="shared" si="7"/>
        <v/>
      </c>
    </row>
    <row r="85" spans="2:12" x14ac:dyDescent="0.35">
      <c r="B85" s="12"/>
      <c r="C85" s="11"/>
      <c r="D85" s="11"/>
      <c r="E85" s="11"/>
      <c r="F85" s="1" t="str">
        <f t="shared" si="4"/>
        <v/>
      </c>
      <c r="G85" s="1" t="str">
        <f t="shared" si="5"/>
        <v/>
      </c>
      <c r="H85" s="1" t="str">
        <f t="shared" si="6"/>
        <v/>
      </c>
      <c r="I85" s="1" t="str">
        <f>IF($L85="","",INDEX(Ref_AccountRules,$L85,3))</f>
        <v/>
      </c>
      <c r="J85" s="1" t="str">
        <f>IF($L85="","",INDEX(Ref_AccountRules,$L85,4))</f>
        <v/>
      </c>
      <c r="K85" s="1" t="str">
        <f>IF($L85="","",INDEX(Ref_AccountRules,$L85,5))</f>
        <v/>
      </c>
      <c r="L85" s="1" t="str">
        <f t="shared" si="7"/>
        <v/>
      </c>
    </row>
    <row r="86" spans="2:12" x14ac:dyDescent="0.35">
      <c r="B86" s="12"/>
      <c r="C86" s="11"/>
      <c r="D86" s="11"/>
      <c r="E86" s="11"/>
      <c r="F86" s="1" t="str">
        <f t="shared" si="4"/>
        <v/>
      </c>
      <c r="G86" s="1" t="str">
        <f t="shared" si="5"/>
        <v/>
      </c>
      <c r="H86" s="1" t="str">
        <f t="shared" si="6"/>
        <v/>
      </c>
      <c r="I86" s="1" t="str">
        <f>IF($L86="","",INDEX(Ref_AccountRules,$L86,3))</f>
        <v/>
      </c>
      <c r="J86" s="1" t="str">
        <f>IF($L86="","",INDEX(Ref_AccountRules,$L86,4))</f>
        <v/>
      </c>
      <c r="K86" s="1" t="str">
        <f>IF($L86="","",INDEX(Ref_AccountRules,$L86,5))</f>
        <v/>
      </c>
      <c r="L86" s="1" t="str">
        <f t="shared" si="7"/>
        <v/>
      </c>
    </row>
    <row r="87" spans="2:12" x14ac:dyDescent="0.35">
      <c r="B87" s="12"/>
      <c r="C87" s="11"/>
      <c r="D87" s="11"/>
      <c r="E87" s="11"/>
      <c r="F87" s="1" t="str">
        <f t="shared" si="4"/>
        <v/>
      </c>
      <c r="G87" s="1" t="str">
        <f t="shared" si="5"/>
        <v/>
      </c>
      <c r="H87" s="1" t="str">
        <f t="shared" si="6"/>
        <v/>
      </c>
      <c r="I87" s="1" t="str">
        <f>IF($L87="","",INDEX(Ref_AccountRules,$L87,3))</f>
        <v/>
      </c>
      <c r="J87" s="1" t="str">
        <f>IF($L87="","",INDEX(Ref_AccountRules,$L87,4))</f>
        <v/>
      </c>
      <c r="K87" s="1" t="str">
        <f>IF($L87="","",INDEX(Ref_AccountRules,$L87,5))</f>
        <v/>
      </c>
      <c r="L87" s="1" t="str">
        <f t="shared" si="7"/>
        <v/>
      </c>
    </row>
    <row r="88" spans="2:12" x14ac:dyDescent="0.35">
      <c r="B88" s="12"/>
      <c r="C88" s="11"/>
      <c r="D88" s="11"/>
      <c r="E88" s="11"/>
      <c r="F88" s="1" t="str">
        <f t="shared" si="4"/>
        <v/>
      </c>
      <c r="G88" s="1" t="str">
        <f t="shared" si="5"/>
        <v/>
      </c>
      <c r="H88" s="1" t="str">
        <f t="shared" si="6"/>
        <v/>
      </c>
      <c r="I88" s="1" t="str">
        <f>IF($L88="","",INDEX(Ref_AccountRules,$L88,3))</f>
        <v/>
      </c>
      <c r="J88" s="1" t="str">
        <f>IF($L88="","",INDEX(Ref_AccountRules,$L88,4))</f>
        <v/>
      </c>
      <c r="K88" s="1" t="str">
        <f>IF($L88="","",INDEX(Ref_AccountRules,$L88,5))</f>
        <v/>
      </c>
      <c r="L88" s="1" t="str">
        <f t="shared" si="7"/>
        <v/>
      </c>
    </row>
    <row r="89" spans="2:12" x14ac:dyDescent="0.35">
      <c r="B89" s="12"/>
      <c r="C89" s="11"/>
      <c r="D89" s="11"/>
      <c r="E89" s="11"/>
      <c r="F89" s="1" t="str">
        <f t="shared" si="4"/>
        <v/>
      </c>
      <c r="G89" s="1" t="str">
        <f t="shared" si="5"/>
        <v/>
      </c>
      <c r="H89" s="1" t="str">
        <f t="shared" si="6"/>
        <v/>
      </c>
      <c r="I89" s="1" t="str">
        <f>IF($L89="","",INDEX(Ref_AccountRules,$L89,3))</f>
        <v/>
      </c>
      <c r="J89" s="1" t="str">
        <f>IF($L89="","",INDEX(Ref_AccountRules,$L89,4))</f>
        <v/>
      </c>
      <c r="K89" s="1" t="str">
        <f>IF($L89="","",INDEX(Ref_AccountRules,$L89,5))</f>
        <v/>
      </c>
      <c r="L89" s="1" t="str">
        <f t="shared" si="7"/>
        <v/>
      </c>
    </row>
    <row r="90" spans="2:12" x14ac:dyDescent="0.35">
      <c r="B90" s="12"/>
      <c r="C90" s="11"/>
      <c r="D90" s="11"/>
      <c r="E90" s="11"/>
      <c r="F90" s="1" t="str">
        <f t="shared" si="4"/>
        <v/>
      </c>
      <c r="G90" s="1" t="str">
        <f t="shared" si="5"/>
        <v/>
      </c>
      <c r="H90" s="1" t="str">
        <f t="shared" si="6"/>
        <v/>
      </c>
      <c r="I90" s="1" t="str">
        <f>IF($L90="","",INDEX(Ref_AccountRules,$L90,3))</f>
        <v/>
      </c>
      <c r="J90" s="1" t="str">
        <f>IF($L90="","",INDEX(Ref_AccountRules,$L90,4))</f>
        <v/>
      </c>
      <c r="K90" s="1" t="str">
        <f>IF($L90="","",INDEX(Ref_AccountRules,$L90,5))</f>
        <v/>
      </c>
      <c r="L90" s="1" t="str">
        <f t="shared" si="7"/>
        <v/>
      </c>
    </row>
    <row r="91" spans="2:12" x14ac:dyDescent="0.35">
      <c r="B91" s="12"/>
      <c r="C91" s="11"/>
      <c r="D91" s="11"/>
      <c r="E91" s="11"/>
      <c r="F91" s="1" t="str">
        <f t="shared" si="4"/>
        <v/>
      </c>
      <c r="G91" s="1" t="str">
        <f t="shared" si="5"/>
        <v/>
      </c>
      <c r="H91" s="1" t="str">
        <f t="shared" si="6"/>
        <v/>
      </c>
      <c r="I91" s="1" t="str">
        <f>IF($L91="","",INDEX(Ref_AccountRules,$L91,3))</f>
        <v/>
      </c>
      <c r="J91" s="1" t="str">
        <f>IF($L91="","",INDEX(Ref_AccountRules,$L91,4))</f>
        <v/>
      </c>
      <c r="K91" s="1" t="str">
        <f>IF($L91="","",INDEX(Ref_AccountRules,$L91,5))</f>
        <v/>
      </c>
      <c r="L91" s="1" t="str">
        <f t="shared" si="7"/>
        <v/>
      </c>
    </row>
    <row r="92" spans="2:12" x14ac:dyDescent="0.35">
      <c r="B92" s="12"/>
      <c r="C92" s="11"/>
      <c r="D92" s="11"/>
      <c r="E92" s="11"/>
      <c r="F92" s="1" t="str">
        <f t="shared" si="4"/>
        <v/>
      </c>
      <c r="G92" s="1" t="str">
        <f t="shared" si="5"/>
        <v/>
      </c>
      <c r="H92" s="1" t="str">
        <f t="shared" si="6"/>
        <v/>
      </c>
      <c r="I92" s="1" t="str">
        <f>IF($L92="","",INDEX(Ref_AccountRules,$L92,3))</f>
        <v/>
      </c>
      <c r="J92" s="1" t="str">
        <f>IF($L92="","",INDEX(Ref_AccountRules,$L92,4))</f>
        <v/>
      </c>
      <c r="K92" s="1" t="str">
        <f>IF($L92="","",INDEX(Ref_AccountRules,$L92,5))</f>
        <v/>
      </c>
      <c r="L92" s="1" t="str">
        <f t="shared" si="7"/>
        <v/>
      </c>
    </row>
    <row r="93" spans="2:12" x14ac:dyDescent="0.35">
      <c r="B93" s="12"/>
      <c r="C93" s="11"/>
      <c r="D93" s="11"/>
      <c r="E93" s="11"/>
      <c r="F93" s="1" t="str">
        <f t="shared" si="4"/>
        <v/>
      </c>
      <c r="G93" s="1" t="str">
        <f t="shared" si="5"/>
        <v/>
      </c>
      <c r="H93" s="1" t="str">
        <f t="shared" si="6"/>
        <v/>
      </c>
      <c r="I93" s="1" t="str">
        <f>IF($L93="","",INDEX(Ref_AccountRules,$L93,3))</f>
        <v/>
      </c>
      <c r="J93" s="1" t="str">
        <f>IF($L93="","",INDEX(Ref_AccountRules,$L93,4))</f>
        <v/>
      </c>
      <c r="K93" s="1" t="str">
        <f>IF($L93="","",INDEX(Ref_AccountRules,$L93,5))</f>
        <v/>
      </c>
      <c r="L93" s="1" t="str">
        <f t="shared" si="7"/>
        <v/>
      </c>
    </row>
    <row r="94" spans="2:12" x14ac:dyDescent="0.35">
      <c r="B94" s="12"/>
      <c r="C94" s="11"/>
      <c r="D94" s="11"/>
      <c r="E94" s="11"/>
      <c r="F94" s="1" t="str">
        <f t="shared" si="4"/>
        <v/>
      </c>
      <c r="G94" s="1" t="str">
        <f t="shared" si="5"/>
        <v/>
      </c>
      <c r="H94" s="1" t="str">
        <f t="shared" si="6"/>
        <v/>
      </c>
      <c r="I94" s="1" t="str">
        <f>IF($L94="","",INDEX(Ref_AccountRules,$L94,3))</f>
        <v/>
      </c>
      <c r="J94" s="1" t="str">
        <f>IF($L94="","",INDEX(Ref_AccountRules,$L94,4))</f>
        <v/>
      </c>
      <c r="K94" s="1" t="str">
        <f>IF($L94="","",INDEX(Ref_AccountRules,$L94,5))</f>
        <v/>
      </c>
      <c r="L94" s="1" t="str">
        <f t="shared" si="7"/>
        <v/>
      </c>
    </row>
    <row r="95" spans="2:12" x14ac:dyDescent="0.35">
      <c r="B95" s="12"/>
      <c r="C95" s="11"/>
      <c r="D95" s="11"/>
      <c r="E95" s="11"/>
      <c r="F95" s="1" t="str">
        <f t="shared" si="4"/>
        <v/>
      </c>
      <c r="G95" s="1" t="str">
        <f t="shared" si="5"/>
        <v/>
      </c>
      <c r="H95" s="1" t="str">
        <f t="shared" si="6"/>
        <v/>
      </c>
      <c r="I95" s="1" t="str">
        <f>IF($L95="","",INDEX(Ref_AccountRules,$L95,3))</f>
        <v/>
      </c>
      <c r="J95" s="1" t="str">
        <f>IF($L95="","",INDEX(Ref_AccountRules,$L95,4))</f>
        <v/>
      </c>
      <c r="K95" s="1" t="str">
        <f>IF($L95="","",INDEX(Ref_AccountRules,$L95,5))</f>
        <v/>
      </c>
      <c r="L95" s="1" t="str">
        <f t="shared" si="7"/>
        <v/>
      </c>
    </row>
    <row r="96" spans="2:12" x14ac:dyDescent="0.35">
      <c r="B96" s="12"/>
      <c r="C96" s="11"/>
      <c r="D96" s="11"/>
      <c r="E96" s="11"/>
      <c r="F96" s="1" t="str">
        <f t="shared" si="4"/>
        <v/>
      </c>
      <c r="G96" s="1" t="str">
        <f t="shared" si="5"/>
        <v/>
      </c>
      <c r="H96" s="1" t="str">
        <f t="shared" si="6"/>
        <v/>
      </c>
      <c r="I96" s="1" t="str">
        <f>IF($L96="","",INDEX(Ref_AccountRules,$L96,3))</f>
        <v/>
      </c>
      <c r="J96" s="1" t="str">
        <f>IF($L96="","",INDEX(Ref_AccountRules,$L96,4))</f>
        <v/>
      </c>
      <c r="K96" s="1" t="str">
        <f>IF($L96="","",INDEX(Ref_AccountRules,$L96,5))</f>
        <v/>
      </c>
      <c r="L96" s="1" t="str">
        <f t="shared" si="7"/>
        <v/>
      </c>
    </row>
    <row r="97" spans="2:12" x14ac:dyDescent="0.35">
      <c r="B97" s="12"/>
      <c r="C97" s="11"/>
      <c r="D97" s="11"/>
      <c r="E97" s="11"/>
      <c r="F97" s="1" t="str">
        <f t="shared" si="4"/>
        <v/>
      </c>
      <c r="G97" s="1" t="str">
        <f t="shared" si="5"/>
        <v/>
      </c>
      <c r="H97" s="1" t="str">
        <f t="shared" si="6"/>
        <v/>
      </c>
      <c r="I97" s="1" t="str">
        <f>IF($L97="","",INDEX(Ref_AccountRules,$L97,3))</f>
        <v/>
      </c>
      <c r="J97" s="1" t="str">
        <f>IF($L97="","",INDEX(Ref_AccountRules,$L97,4))</f>
        <v/>
      </c>
      <c r="K97" s="1" t="str">
        <f>IF($L97="","",INDEX(Ref_AccountRules,$L97,5))</f>
        <v/>
      </c>
      <c r="L97" s="1" t="str">
        <f t="shared" si="7"/>
        <v/>
      </c>
    </row>
    <row r="98" spans="2:12" x14ac:dyDescent="0.35">
      <c r="B98" s="12"/>
      <c r="C98" s="11"/>
      <c r="D98" s="11"/>
      <c r="E98" s="11"/>
      <c r="F98" s="1" t="str">
        <f t="shared" si="4"/>
        <v/>
      </c>
      <c r="G98" s="1" t="str">
        <f t="shared" si="5"/>
        <v/>
      </c>
      <c r="H98" s="1" t="str">
        <f t="shared" si="6"/>
        <v/>
      </c>
      <c r="I98" s="1" t="str">
        <f>IF($L98="","",INDEX(Ref_AccountRules,$L98,3))</f>
        <v/>
      </c>
      <c r="J98" s="1" t="str">
        <f>IF($L98="","",INDEX(Ref_AccountRules,$L98,4))</f>
        <v/>
      </c>
      <c r="K98" s="1" t="str">
        <f>IF($L98="","",INDEX(Ref_AccountRules,$L98,5))</f>
        <v/>
      </c>
      <c r="L98" s="1" t="str">
        <f t="shared" si="7"/>
        <v/>
      </c>
    </row>
    <row r="99" spans="2:12" x14ac:dyDescent="0.35">
      <c r="B99" s="12"/>
      <c r="C99" s="11"/>
      <c r="D99" s="11"/>
      <c r="E99" s="11"/>
      <c r="F99" s="1" t="str">
        <f t="shared" si="4"/>
        <v/>
      </c>
      <c r="G99" s="1" t="str">
        <f t="shared" si="5"/>
        <v/>
      </c>
      <c r="H99" s="1" t="str">
        <f t="shared" si="6"/>
        <v/>
      </c>
      <c r="I99" s="1" t="str">
        <f>IF($L99="","",INDEX(Ref_AccountRules,$L99,3))</f>
        <v/>
      </c>
      <c r="J99" s="1" t="str">
        <f>IF($L99="","",INDEX(Ref_AccountRules,$L99,4))</f>
        <v/>
      </c>
      <c r="K99" s="1" t="str">
        <f>IF($L99="","",INDEX(Ref_AccountRules,$L99,5))</f>
        <v/>
      </c>
      <c r="L99" s="1" t="str">
        <f t="shared" si="7"/>
        <v/>
      </c>
    </row>
    <row r="100" spans="2:12" x14ac:dyDescent="0.35">
      <c r="B100" s="12"/>
      <c r="C100" s="11"/>
      <c r="D100" s="11"/>
      <c r="E100" s="11"/>
      <c r="F100" s="1" t="str">
        <f t="shared" si="4"/>
        <v/>
      </c>
      <c r="G100" s="1" t="str">
        <f t="shared" si="5"/>
        <v/>
      </c>
      <c r="H100" s="1" t="str">
        <f t="shared" si="6"/>
        <v/>
      </c>
      <c r="I100" s="1" t="str">
        <f>IF($L100="","",INDEX(Ref_AccountRules,$L100,3))</f>
        <v/>
      </c>
      <c r="J100" s="1" t="str">
        <f>IF($L100="","",INDEX(Ref_AccountRules,$L100,4))</f>
        <v/>
      </c>
      <c r="K100" s="1" t="str">
        <f>IF($L100="","",INDEX(Ref_AccountRules,$L100,5))</f>
        <v/>
      </c>
      <c r="L100" s="1" t="str">
        <f t="shared" si="7"/>
        <v/>
      </c>
    </row>
    <row r="101" spans="2:12" x14ac:dyDescent="0.35">
      <c r="B101" s="12"/>
      <c r="C101" s="11"/>
      <c r="D101" s="11"/>
      <c r="E101" s="11"/>
      <c r="F101" s="1" t="str">
        <f t="shared" si="4"/>
        <v/>
      </c>
      <c r="G101" s="1" t="str">
        <f t="shared" si="5"/>
        <v/>
      </c>
      <c r="H101" s="1" t="str">
        <f t="shared" si="6"/>
        <v/>
      </c>
      <c r="I101" s="1" t="str">
        <f>IF($L101="","",INDEX(Ref_AccountRules,$L101,3))</f>
        <v/>
      </c>
      <c r="J101" s="1" t="str">
        <f>IF($L101="","",INDEX(Ref_AccountRules,$L101,4))</f>
        <v/>
      </c>
      <c r="K101" s="1" t="str">
        <f>IF($L101="","",INDEX(Ref_AccountRules,$L101,5))</f>
        <v/>
      </c>
      <c r="L101" s="1" t="str">
        <f t="shared" si="7"/>
        <v/>
      </c>
    </row>
    <row r="102" spans="2:12" x14ac:dyDescent="0.35">
      <c r="B102" s="12"/>
      <c r="C102" s="11"/>
      <c r="D102" s="11"/>
      <c r="E102" s="11"/>
      <c r="F102" s="1" t="str">
        <f t="shared" si="4"/>
        <v/>
      </c>
      <c r="G102" s="1" t="str">
        <f t="shared" si="5"/>
        <v/>
      </c>
      <c r="H102" s="1" t="str">
        <f t="shared" si="6"/>
        <v/>
      </c>
      <c r="I102" s="1" t="str">
        <f>IF($L102="","",INDEX(Ref_AccountRules,$L102,3))</f>
        <v/>
      </c>
      <c r="J102" s="1" t="str">
        <f>IF($L102="","",INDEX(Ref_AccountRules,$L102,4))</f>
        <v/>
      </c>
      <c r="K102" s="1" t="str">
        <f>IF($L102="","",INDEX(Ref_AccountRules,$L102,5))</f>
        <v/>
      </c>
      <c r="L102" s="1" t="str">
        <f t="shared" si="7"/>
        <v/>
      </c>
    </row>
    <row r="103" spans="2:12" x14ac:dyDescent="0.35">
      <c r="B103" s="12"/>
      <c r="C103" s="11"/>
      <c r="D103" s="11"/>
      <c r="E103" s="11"/>
      <c r="F103" s="1" t="str">
        <f t="shared" si="4"/>
        <v/>
      </c>
      <c r="G103" s="1" t="str">
        <f t="shared" si="5"/>
        <v/>
      </c>
      <c r="H103" s="1" t="str">
        <f t="shared" si="6"/>
        <v/>
      </c>
      <c r="I103" s="1" t="str">
        <f>IF($L103="","",INDEX(Ref_AccountRules,$L103,3))</f>
        <v/>
      </c>
      <c r="J103" s="1" t="str">
        <f>IF($L103="","",INDEX(Ref_AccountRules,$L103,4))</f>
        <v/>
      </c>
      <c r="K103" s="1" t="str">
        <f>IF($L103="","",INDEX(Ref_AccountRules,$L103,5))</f>
        <v/>
      </c>
      <c r="L103" s="1" t="str">
        <f t="shared" si="7"/>
        <v/>
      </c>
    </row>
    <row r="104" spans="2:12" x14ac:dyDescent="0.35">
      <c r="B104" s="12"/>
      <c r="C104" s="11"/>
      <c r="D104" s="11"/>
      <c r="E104" s="11"/>
      <c r="F104" s="1" t="str">
        <f t="shared" si="4"/>
        <v/>
      </c>
      <c r="G104" s="1" t="str">
        <f t="shared" si="5"/>
        <v/>
      </c>
      <c r="H104" s="1" t="str">
        <f t="shared" si="6"/>
        <v/>
      </c>
      <c r="I104" s="1" t="str">
        <f>IF($L104="","",INDEX(Ref_AccountRules,$L104,3))</f>
        <v/>
      </c>
      <c r="J104" s="1" t="str">
        <f>IF($L104="","",INDEX(Ref_AccountRules,$L104,4))</f>
        <v/>
      </c>
      <c r="K104" s="1" t="str">
        <f>IF($L104="","",INDEX(Ref_AccountRules,$L104,5))</f>
        <v/>
      </c>
      <c r="L104" s="1" t="str">
        <f t="shared" si="7"/>
        <v/>
      </c>
    </row>
    <row r="105" spans="2:12" x14ac:dyDescent="0.35">
      <c r="B105" s="12"/>
      <c r="C105" s="11"/>
      <c r="D105" s="11"/>
      <c r="E105" s="11"/>
      <c r="F105" s="1" t="str">
        <f t="shared" si="4"/>
        <v/>
      </c>
      <c r="G105" s="1" t="str">
        <f t="shared" si="5"/>
        <v/>
      </c>
      <c r="H105" s="1" t="str">
        <f t="shared" si="6"/>
        <v/>
      </c>
      <c r="I105" s="1" t="str">
        <f>IF($L105="","",INDEX(Ref_AccountRules,$L105,3))</f>
        <v/>
      </c>
      <c r="J105" s="1" t="str">
        <f>IF($L105="","",INDEX(Ref_AccountRules,$L105,4))</f>
        <v/>
      </c>
      <c r="K105" s="1" t="str">
        <f>IF($L105="","",INDEX(Ref_AccountRules,$L105,5))</f>
        <v/>
      </c>
      <c r="L105" s="1" t="str">
        <f t="shared" si="7"/>
        <v/>
      </c>
    </row>
    <row r="106" spans="2:12" x14ac:dyDescent="0.35">
      <c r="B106" s="12"/>
      <c r="C106" s="11"/>
      <c r="D106" s="11"/>
      <c r="E106" s="11"/>
      <c r="F106" s="1" t="str">
        <f t="shared" si="4"/>
        <v/>
      </c>
      <c r="G106" s="1" t="str">
        <f t="shared" si="5"/>
        <v/>
      </c>
      <c r="H106" s="1" t="str">
        <f t="shared" si="6"/>
        <v/>
      </c>
      <c r="I106" s="1" t="str">
        <f>IF($L106="","",INDEX(Ref_AccountRules,$L106,3))</f>
        <v/>
      </c>
      <c r="J106" s="1" t="str">
        <f>IF($L106="","",INDEX(Ref_AccountRules,$L106,4))</f>
        <v/>
      </c>
      <c r="K106" s="1" t="str">
        <f>IF($L106="","",INDEX(Ref_AccountRules,$L106,5))</f>
        <v/>
      </c>
      <c r="L106" s="1" t="str">
        <f t="shared" si="7"/>
        <v/>
      </c>
    </row>
    <row r="107" spans="2:12" x14ac:dyDescent="0.35">
      <c r="B107" s="12"/>
      <c r="C107" s="11"/>
      <c r="D107" s="11"/>
      <c r="E107" s="11"/>
      <c r="F107" s="1" t="str">
        <f t="shared" si="4"/>
        <v/>
      </c>
      <c r="G107" s="1" t="str">
        <f t="shared" si="5"/>
        <v/>
      </c>
      <c r="H107" s="1" t="str">
        <f t="shared" si="6"/>
        <v/>
      </c>
      <c r="I107" s="1" t="str">
        <f>IF($L107="","",INDEX(Ref_AccountRules,$L107,3))</f>
        <v/>
      </c>
      <c r="J107" s="1" t="str">
        <f>IF($L107="","",INDEX(Ref_AccountRules,$L107,4))</f>
        <v/>
      </c>
      <c r="K107" s="1" t="str">
        <f>IF($L107="","",INDEX(Ref_AccountRules,$L107,5))</f>
        <v/>
      </c>
      <c r="L107" s="1" t="str">
        <f t="shared" si="7"/>
        <v/>
      </c>
    </row>
    <row r="108" spans="2:12" x14ac:dyDescent="0.35">
      <c r="B108" s="12"/>
      <c r="C108" s="11"/>
      <c r="D108" s="11"/>
      <c r="E108" s="11"/>
      <c r="F108" s="1" t="str">
        <f t="shared" si="4"/>
        <v/>
      </c>
      <c r="G108" s="1" t="str">
        <f t="shared" si="5"/>
        <v/>
      </c>
      <c r="H108" s="1" t="str">
        <f t="shared" si="6"/>
        <v/>
      </c>
      <c r="I108" s="1" t="str">
        <f>IF($L108="","",INDEX(Ref_AccountRules,$L108,3))</f>
        <v/>
      </c>
      <c r="J108" s="1" t="str">
        <f>IF($L108="","",INDEX(Ref_AccountRules,$L108,4))</f>
        <v/>
      </c>
      <c r="K108" s="1" t="str">
        <f>IF($L108="","",INDEX(Ref_AccountRules,$L108,5))</f>
        <v/>
      </c>
      <c r="L108" s="1" t="str">
        <f t="shared" si="7"/>
        <v/>
      </c>
    </row>
    <row r="109" spans="2:12" x14ac:dyDescent="0.35">
      <c r="B109" s="12"/>
      <c r="C109" s="11"/>
      <c r="D109" s="11"/>
      <c r="E109" s="11"/>
      <c r="F109" s="1" t="str">
        <f t="shared" si="4"/>
        <v/>
      </c>
      <c r="G109" s="1" t="str">
        <f t="shared" si="5"/>
        <v/>
      </c>
      <c r="H109" s="1" t="str">
        <f t="shared" si="6"/>
        <v/>
      </c>
      <c r="I109" s="1" t="str">
        <f>IF($L109="","",INDEX(Ref_AccountRules,$L109,3))</f>
        <v/>
      </c>
      <c r="J109" s="1" t="str">
        <f>IF($L109="","",INDEX(Ref_AccountRules,$L109,4))</f>
        <v/>
      </c>
      <c r="K109" s="1" t="str">
        <f>IF($L109="","",INDEX(Ref_AccountRules,$L109,5))</f>
        <v/>
      </c>
      <c r="L109" s="1" t="str">
        <f t="shared" si="7"/>
        <v/>
      </c>
    </row>
    <row r="110" spans="2:12" x14ac:dyDescent="0.35">
      <c r="B110" s="12"/>
      <c r="C110" s="11"/>
      <c r="D110" s="11"/>
      <c r="E110" s="11"/>
      <c r="F110" s="1" t="str">
        <f t="shared" si="4"/>
        <v/>
      </c>
      <c r="G110" s="1" t="str">
        <f t="shared" si="5"/>
        <v/>
      </c>
      <c r="H110" s="1" t="str">
        <f t="shared" si="6"/>
        <v/>
      </c>
      <c r="I110" s="1" t="str">
        <f>IF($L110="","",INDEX(Ref_AccountRules,$L110,3))</f>
        <v/>
      </c>
      <c r="J110" s="1" t="str">
        <f>IF($L110="","",INDEX(Ref_AccountRules,$L110,4))</f>
        <v/>
      </c>
      <c r="K110" s="1" t="str">
        <f>IF($L110="","",INDEX(Ref_AccountRules,$L110,5))</f>
        <v/>
      </c>
      <c r="L110" s="1" t="str">
        <f t="shared" si="7"/>
        <v/>
      </c>
    </row>
    <row r="111" spans="2:12" x14ac:dyDescent="0.35">
      <c r="B111" s="12"/>
      <c r="C111" s="11"/>
      <c r="D111" s="11"/>
      <c r="E111" s="11"/>
      <c r="F111" s="1" t="str">
        <f t="shared" si="4"/>
        <v/>
      </c>
      <c r="G111" s="1" t="str">
        <f t="shared" si="5"/>
        <v/>
      </c>
      <c r="H111" s="1" t="str">
        <f t="shared" si="6"/>
        <v/>
      </c>
      <c r="I111" s="1" t="str">
        <f>IF($L111="","",INDEX(Ref_AccountRules,$L111,3))</f>
        <v/>
      </c>
      <c r="J111" s="1" t="str">
        <f>IF($L111="","",INDEX(Ref_AccountRules,$L111,4))</f>
        <v/>
      </c>
      <c r="K111" s="1" t="str">
        <f>IF($L111="","",INDEX(Ref_AccountRules,$L111,5))</f>
        <v/>
      </c>
      <c r="L111" s="1" t="str">
        <f t="shared" si="7"/>
        <v/>
      </c>
    </row>
    <row r="112" spans="2:12" x14ac:dyDescent="0.35">
      <c r="B112" s="12"/>
      <c r="C112" s="11"/>
      <c r="D112" s="11"/>
      <c r="E112" s="11"/>
      <c r="F112" s="1" t="str">
        <f t="shared" si="4"/>
        <v/>
      </c>
      <c r="G112" s="1" t="str">
        <f t="shared" si="5"/>
        <v/>
      </c>
      <c r="H112" s="1" t="str">
        <f t="shared" si="6"/>
        <v/>
      </c>
      <c r="I112" s="1" t="str">
        <f>IF($L112="","",INDEX(Ref_AccountRules,$L112,3))</f>
        <v/>
      </c>
      <c r="J112" s="1" t="str">
        <f>IF($L112="","",INDEX(Ref_AccountRules,$L112,4))</f>
        <v/>
      </c>
      <c r="K112" s="1" t="str">
        <f>IF($L112="","",INDEX(Ref_AccountRules,$L112,5))</f>
        <v/>
      </c>
      <c r="L112" s="1" t="str">
        <f t="shared" si="7"/>
        <v/>
      </c>
    </row>
    <row r="113" spans="2:12" x14ac:dyDescent="0.35">
      <c r="B113" s="12"/>
      <c r="C113" s="11"/>
      <c r="D113" s="11"/>
      <c r="E113" s="11"/>
      <c r="F113" s="1" t="str">
        <f t="shared" si="4"/>
        <v/>
      </c>
      <c r="G113" s="1" t="str">
        <f t="shared" si="5"/>
        <v/>
      </c>
      <c r="H113" s="1" t="str">
        <f t="shared" si="6"/>
        <v/>
      </c>
      <c r="I113" s="1" t="str">
        <f>IF($L113="","",INDEX(Ref_AccountRules,$L113,3))</f>
        <v/>
      </c>
      <c r="J113" s="1" t="str">
        <f>IF($L113="","",INDEX(Ref_AccountRules,$L113,4))</f>
        <v/>
      </c>
      <c r="K113" s="1" t="str">
        <f>IF($L113="","",INDEX(Ref_AccountRules,$L113,5))</f>
        <v/>
      </c>
      <c r="L113" s="1" t="str">
        <f t="shared" si="7"/>
        <v/>
      </c>
    </row>
    <row r="114" spans="2:12" x14ac:dyDescent="0.35">
      <c r="B114" s="12"/>
      <c r="C114" s="11"/>
      <c r="D114" s="11"/>
      <c r="E114" s="11"/>
      <c r="F114" s="1" t="str">
        <f t="shared" si="4"/>
        <v/>
      </c>
      <c r="G114" s="1" t="str">
        <f t="shared" si="5"/>
        <v/>
      </c>
      <c r="H114" s="1" t="str">
        <f t="shared" si="6"/>
        <v/>
      </c>
      <c r="I114" s="1" t="str">
        <f>IF($L114="","",INDEX(Ref_AccountRules,$L114,3))</f>
        <v/>
      </c>
      <c r="J114" s="1" t="str">
        <f>IF($L114="","",INDEX(Ref_AccountRules,$L114,4))</f>
        <v/>
      </c>
      <c r="K114" s="1" t="str">
        <f>IF($L114="","",INDEX(Ref_AccountRules,$L114,5))</f>
        <v/>
      </c>
      <c r="L114" s="1" t="str">
        <f t="shared" si="7"/>
        <v/>
      </c>
    </row>
    <row r="115" spans="2:12" x14ac:dyDescent="0.35">
      <c r="B115" s="12"/>
      <c r="C115" s="11"/>
      <c r="D115" s="11"/>
      <c r="E115" s="11"/>
      <c r="F115" s="1" t="str">
        <f t="shared" si="4"/>
        <v/>
      </c>
      <c r="G115" s="1" t="str">
        <f t="shared" si="5"/>
        <v/>
      </c>
      <c r="H115" s="1" t="str">
        <f t="shared" si="6"/>
        <v/>
      </c>
      <c r="I115" s="1" t="str">
        <f>IF($L115="","",INDEX(Ref_AccountRules,$L115,3))</f>
        <v/>
      </c>
      <c r="J115" s="1" t="str">
        <f>IF($L115="","",INDEX(Ref_AccountRules,$L115,4))</f>
        <v/>
      </c>
      <c r="K115" s="1" t="str">
        <f>IF($L115="","",INDEX(Ref_AccountRules,$L115,5))</f>
        <v/>
      </c>
      <c r="L115" s="1" t="str">
        <f t="shared" si="7"/>
        <v/>
      </c>
    </row>
    <row r="116" spans="2:12" x14ac:dyDescent="0.35">
      <c r="B116" s="12"/>
      <c r="C116" s="11"/>
      <c r="D116" s="11"/>
      <c r="E116" s="11"/>
      <c r="F116" s="1" t="str">
        <f t="shared" si="4"/>
        <v/>
      </c>
      <c r="G116" s="1" t="str">
        <f t="shared" si="5"/>
        <v/>
      </c>
      <c r="H116" s="1" t="str">
        <f t="shared" si="6"/>
        <v/>
      </c>
      <c r="I116" s="1" t="str">
        <f>IF($L116="","",INDEX(Ref_AccountRules,$L116,3))</f>
        <v/>
      </c>
      <c r="J116" s="1" t="str">
        <f>IF($L116="","",INDEX(Ref_AccountRules,$L116,4))</f>
        <v/>
      </c>
      <c r="K116" s="1" t="str">
        <f>IF($L116="","",INDEX(Ref_AccountRules,$L116,5))</f>
        <v/>
      </c>
      <c r="L116" s="1" t="str">
        <f t="shared" si="7"/>
        <v/>
      </c>
    </row>
    <row r="117" spans="2:12" x14ac:dyDescent="0.35">
      <c r="B117" s="12"/>
      <c r="C117" s="11"/>
      <c r="D117" s="11"/>
      <c r="E117" s="11"/>
      <c r="F117" s="1" t="str">
        <f t="shared" si="4"/>
        <v/>
      </c>
      <c r="G117" s="1" t="str">
        <f t="shared" si="5"/>
        <v/>
      </c>
      <c r="H117" s="1" t="str">
        <f t="shared" si="6"/>
        <v/>
      </c>
      <c r="I117" s="1" t="str">
        <f>IF($L117="","",INDEX(Ref_AccountRules,$L117,3))</f>
        <v/>
      </c>
      <c r="J117" s="1" t="str">
        <f>IF($L117="","",INDEX(Ref_AccountRules,$L117,4))</f>
        <v/>
      </c>
      <c r="K117" s="1" t="str">
        <f>IF($L117="","",INDEX(Ref_AccountRules,$L117,5))</f>
        <v/>
      </c>
      <c r="L117" s="1" t="str">
        <f t="shared" si="7"/>
        <v/>
      </c>
    </row>
    <row r="118" spans="2:12" x14ac:dyDescent="0.35">
      <c r="B118" s="12"/>
      <c r="C118" s="11"/>
      <c r="D118" s="11"/>
      <c r="E118" s="11"/>
      <c r="F118" s="1" t="str">
        <f t="shared" si="4"/>
        <v/>
      </c>
      <c r="G118" s="1" t="str">
        <f t="shared" si="5"/>
        <v/>
      </c>
      <c r="H118" s="1" t="str">
        <f t="shared" si="6"/>
        <v/>
      </c>
      <c r="I118" s="1" t="str">
        <f>IF($L118="","",INDEX(Ref_AccountRules,$L118,3))</f>
        <v/>
      </c>
      <c r="J118" s="1" t="str">
        <f>IF($L118="","",INDEX(Ref_AccountRules,$L118,4))</f>
        <v/>
      </c>
      <c r="K118" s="1" t="str">
        <f>IF($L118="","",INDEX(Ref_AccountRules,$L118,5))</f>
        <v/>
      </c>
      <c r="L118" s="1" t="str">
        <f t="shared" si="7"/>
        <v/>
      </c>
    </row>
    <row r="119" spans="2:12" x14ac:dyDescent="0.35">
      <c r="B119" s="12"/>
      <c r="C119" s="11"/>
      <c r="D119" s="11"/>
      <c r="E119" s="11"/>
      <c r="F119" s="1" t="str">
        <f t="shared" si="4"/>
        <v/>
      </c>
      <c r="G119" s="1" t="str">
        <f t="shared" si="5"/>
        <v/>
      </c>
      <c r="H119" s="1" t="str">
        <f t="shared" si="6"/>
        <v/>
      </c>
      <c r="I119" s="1" t="str">
        <f>IF($L119="","",INDEX(Ref_AccountRules,$L119,3))</f>
        <v/>
      </c>
      <c r="J119" s="1" t="str">
        <f>IF($L119="","",INDEX(Ref_AccountRules,$L119,4))</f>
        <v/>
      </c>
      <c r="K119" s="1" t="str">
        <f>IF($L119="","",INDEX(Ref_AccountRules,$L119,5))</f>
        <v/>
      </c>
      <c r="L119" s="1" t="str">
        <f t="shared" si="7"/>
        <v/>
      </c>
    </row>
    <row r="120" spans="2:12" x14ac:dyDescent="0.35">
      <c r="B120" s="12"/>
      <c r="C120" s="11"/>
      <c r="D120" s="11"/>
      <c r="E120" s="11"/>
      <c r="F120" s="1" t="str">
        <f t="shared" si="4"/>
        <v/>
      </c>
      <c r="G120" s="1" t="str">
        <f t="shared" si="5"/>
        <v/>
      </c>
      <c r="H120" s="1" t="str">
        <f t="shared" si="6"/>
        <v/>
      </c>
      <c r="I120" s="1" t="str">
        <f>IF($L120="","",INDEX(Ref_AccountRules,$L120,3))</f>
        <v/>
      </c>
      <c r="J120" s="1" t="str">
        <f>IF($L120="","",INDEX(Ref_AccountRules,$L120,4))</f>
        <v/>
      </c>
      <c r="K120" s="1" t="str">
        <f>IF($L120="","",INDEX(Ref_AccountRules,$L120,5))</f>
        <v/>
      </c>
      <c r="L120" s="1" t="str">
        <f t="shared" si="7"/>
        <v/>
      </c>
    </row>
    <row r="121" spans="2:12" x14ac:dyDescent="0.35">
      <c r="B121" s="12"/>
      <c r="C121" s="11"/>
      <c r="D121" s="11"/>
      <c r="E121" s="11"/>
      <c r="F121" s="1" t="str">
        <f t="shared" si="4"/>
        <v/>
      </c>
      <c r="G121" s="1" t="str">
        <f t="shared" si="5"/>
        <v/>
      </c>
      <c r="H121" s="1" t="str">
        <f t="shared" si="6"/>
        <v/>
      </c>
      <c r="I121" s="1" t="str">
        <f>IF($L121="","",INDEX(Ref_AccountRules,$L121,3))</f>
        <v/>
      </c>
      <c r="J121" s="1" t="str">
        <f>IF($L121="","",INDEX(Ref_AccountRules,$L121,4))</f>
        <v/>
      </c>
      <c r="K121" s="1" t="str">
        <f>IF($L121="","",INDEX(Ref_AccountRules,$L121,5))</f>
        <v/>
      </c>
      <c r="L121" s="1" t="str">
        <f t="shared" si="7"/>
        <v/>
      </c>
    </row>
    <row r="122" spans="2:12" x14ac:dyDescent="0.35">
      <c r="B122" s="12"/>
      <c r="C122" s="11"/>
      <c r="D122" s="11"/>
      <c r="E122" s="11"/>
      <c r="F122" s="1" t="str">
        <f t="shared" si="4"/>
        <v/>
      </c>
      <c r="G122" s="1" t="str">
        <f t="shared" si="5"/>
        <v/>
      </c>
      <c r="H122" s="1" t="str">
        <f t="shared" si="6"/>
        <v/>
      </c>
      <c r="I122" s="1" t="str">
        <f>IF($L122="","",INDEX(Ref_AccountRules,$L122,3))</f>
        <v/>
      </c>
      <c r="J122" s="1" t="str">
        <f>IF($L122="","",INDEX(Ref_AccountRules,$L122,4))</f>
        <v/>
      </c>
      <c r="K122" s="1" t="str">
        <f>IF($L122="","",INDEX(Ref_AccountRules,$L122,5))</f>
        <v/>
      </c>
      <c r="L122" s="1" t="str">
        <f t="shared" si="7"/>
        <v/>
      </c>
    </row>
    <row r="123" spans="2:12" x14ac:dyDescent="0.35">
      <c r="B123" s="12"/>
      <c r="C123" s="11"/>
      <c r="D123" s="11"/>
      <c r="E123" s="11"/>
      <c r="F123" s="1" t="str">
        <f t="shared" si="4"/>
        <v/>
      </c>
      <c r="G123" s="1" t="str">
        <f t="shared" si="5"/>
        <v/>
      </c>
      <c r="H123" s="1" t="str">
        <f t="shared" si="6"/>
        <v/>
      </c>
      <c r="I123" s="1" t="str">
        <f>IF($L123="","",INDEX(Ref_AccountRules,$L123,3))</f>
        <v/>
      </c>
      <c r="J123" s="1" t="str">
        <f>IF($L123="","",INDEX(Ref_AccountRules,$L123,4))</f>
        <v/>
      </c>
      <c r="K123" s="1" t="str">
        <f>IF($L123="","",INDEX(Ref_AccountRules,$L123,5))</f>
        <v/>
      </c>
      <c r="L123" s="1" t="str">
        <f t="shared" si="7"/>
        <v/>
      </c>
    </row>
    <row r="124" spans="2:12" x14ac:dyDescent="0.35">
      <c r="B124" s="12"/>
      <c r="C124" s="11"/>
      <c r="D124" s="11"/>
      <c r="E124" s="11"/>
      <c r="F124" s="1" t="str">
        <f t="shared" si="4"/>
        <v/>
      </c>
      <c r="G124" s="1" t="str">
        <f t="shared" si="5"/>
        <v/>
      </c>
      <c r="H124" s="1" t="str">
        <f t="shared" si="6"/>
        <v/>
      </c>
      <c r="I124" s="1" t="str">
        <f>IF($L124="","",INDEX(Ref_AccountRules,$L124,3))</f>
        <v/>
      </c>
      <c r="J124" s="1" t="str">
        <f>IF($L124="","",INDEX(Ref_AccountRules,$L124,4))</f>
        <v/>
      </c>
      <c r="K124" s="1" t="str">
        <f>IF($L124="","",INDEX(Ref_AccountRules,$L124,5))</f>
        <v/>
      </c>
      <c r="L124" s="1" t="str">
        <f t="shared" si="7"/>
        <v/>
      </c>
    </row>
    <row r="125" spans="2:12" x14ac:dyDescent="0.35">
      <c r="B125" s="12"/>
      <c r="C125" s="11"/>
      <c r="D125" s="11"/>
      <c r="E125" s="11"/>
      <c r="F125" s="1" t="str">
        <f t="shared" si="4"/>
        <v/>
      </c>
      <c r="G125" s="1" t="str">
        <f t="shared" si="5"/>
        <v/>
      </c>
      <c r="H125" s="1" t="str">
        <f t="shared" si="6"/>
        <v/>
      </c>
      <c r="I125" s="1" t="str">
        <f>IF($L125="","",INDEX(Ref_AccountRules,$L125,3))</f>
        <v/>
      </c>
      <c r="J125" s="1" t="str">
        <f>IF($L125="","",INDEX(Ref_AccountRules,$L125,4))</f>
        <v/>
      </c>
      <c r="K125" s="1" t="str">
        <f>IF($L125="","",INDEX(Ref_AccountRules,$L125,5))</f>
        <v/>
      </c>
      <c r="L125" s="1" t="str">
        <f t="shared" si="7"/>
        <v/>
      </c>
    </row>
    <row r="126" spans="2:12" x14ac:dyDescent="0.35">
      <c r="B126" s="12"/>
      <c r="C126" s="11"/>
      <c r="D126" s="11"/>
      <c r="E126" s="11"/>
      <c r="F126" s="1" t="str">
        <f t="shared" si="4"/>
        <v/>
      </c>
      <c r="G126" s="1" t="str">
        <f t="shared" si="5"/>
        <v/>
      </c>
      <c r="H126" s="1" t="str">
        <f t="shared" si="6"/>
        <v/>
      </c>
      <c r="I126" s="1" t="str">
        <f>IF($L126="","",INDEX(Ref_AccountRules,$L126,3))</f>
        <v/>
      </c>
      <c r="J126" s="1" t="str">
        <f>IF($L126="","",INDEX(Ref_AccountRules,$L126,4))</f>
        <v/>
      </c>
      <c r="K126" s="1" t="str">
        <f>IF($L126="","",INDEX(Ref_AccountRules,$L126,5))</f>
        <v/>
      </c>
      <c r="L126" s="1" t="str">
        <f t="shared" si="7"/>
        <v/>
      </c>
    </row>
    <row r="127" spans="2:12" x14ac:dyDescent="0.35">
      <c r="B127" s="12"/>
      <c r="C127" s="11"/>
      <c r="D127" s="11"/>
      <c r="E127" s="11"/>
      <c r="F127" s="1" t="str">
        <f t="shared" si="4"/>
        <v/>
      </c>
      <c r="G127" s="1" t="str">
        <f t="shared" si="5"/>
        <v/>
      </c>
      <c r="H127" s="1" t="str">
        <f t="shared" si="6"/>
        <v/>
      </c>
      <c r="I127" s="1" t="str">
        <f>IF($L127="","",INDEX(Ref_AccountRules,$L127,3))</f>
        <v/>
      </c>
      <c r="J127" s="1" t="str">
        <f>IF($L127="","",INDEX(Ref_AccountRules,$L127,4))</f>
        <v/>
      </c>
      <c r="K127" s="1" t="str">
        <f>IF($L127="","",INDEX(Ref_AccountRules,$L127,5))</f>
        <v/>
      </c>
      <c r="L127" s="1" t="str">
        <f t="shared" si="7"/>
        <v/>
      </c>
    </row>
    <row r="128" spans="2:12" x14ac:dyDescent="0.35">
      <c r="B128" s="12"/>
      <c r="C128" s="11"/>
      <c r="D128" s="11"/>
      <c r="E128" s="11"/>
      <c r="F128" s="1" t="str">
        <f t="shared" si="4"/>
        <v/>
      </c>
      <c r="G128" s="1" t="str">
        <f t="shared" si="5"/>
        <v/>
      </c>
      <c r="H128" s="1" t="str">
        <f t="shared" si="6"/>
        <v/>
      </c>
      <c r="I128" s="1" t="str">
        <f>IF($L128="","",INDEX(Ref_AccountRules,$L128,3))</f>
        <v/>
      </c>
      <c r="J128" s="1" t="str">
        <f>IF($L128="","",INDEX(Ref_AccountRules,$L128,4))</f>
        <v/>
      </c>
      <c r="K128" s="1" t="str">
        <f>IF($L128="","",INDEX(Ref_AccountRules,$L128,5))</f>
        <v/>
      </c>
      <c r="L128" s="1" t="str">
        <f t="shared" si="7"/>
        <v/>
      </c>
    </row>
    <row r="129" spans="2:12" x14ac:dyDescent="0.35">
      <c r="B129" s="12"/>
      <c r="C129" s="11"/>
      <c r="D129" s="11"/>
      <c r="E129" s="11"/>
      <c r="F129" s="1" t="str">
        <f t="shared" si="4"/>
        <v/>
      </c>
      <c r="G129" s="1" t="str">
        <f t="shared" si="5"/>
        <v/>
      </c>
      <c r="H129" s="1" t="str">
        <f t="shared" si="6"/>
        <v/>
      </c>
      <c r="I129" s="1" t="str">
        <f>IF($L129="","",INDEX(Ref_AccountRules,$L129,3))</f>
        <v/>
      </c>
      <c r="J129" s="1" t="str">
        <f>IF($L129="","",INDEX(Ref_AccountRules,$L129,4))</f>
        <v/>
      </c>
      <c r="K129" s="1" t="str">
        <f>IF($L129="","",INDEX(Ref_AccountRules,$L129,5))</f>
        <v/>
      </c>
      <c r="L129" s="1" t="str">
        <f t="shared" si="7"/>
        <v/>
      </c>
    </row>
    <row r="130" spans="2:12" x14ac:dyDescent="0.35">
      <c r="B130" s="12"/>
      <c r="C130" s="11"/>
      <c r="D130" s="11"/>
      <c r="E130" s="11"/>
      <c r="F130" s="1" t="str">
        <f t="shared" si="4"/>
        <v/>
      </c>
      <c r="G130" s="1" t="str">
        <f t="shared" si="5"/>
        <v/>
      </c>
      <c r="H130" s="1" t="str">
        <f t="shared" si="6"/>
        <v/>
      </c>
      <c r="I130" s="1" t="str">
        <f>IF($L130="","",INDEX(Ref_AccountRules,$L130,3))</f>
        <v/>
      </c>
      <c r="J130" s="1" t="str">
        <f>IF($L130="","",INDEX(Ref_AccountRules,$L130,4))</f>
        <v/>
      </c>
      <c r="K130" s="1" t="str">
        <f>IF($L130="","",INDEX(Ref_AccountRules,$L130,5))</f>
        <v/>
      </c>
      <c r="L130" s="1" t="str">
        <f t="shared" si="7"/>
        <v/>
      </c>
    </row>
    <row r="131" spans="2:12" x14ac:dyDescent="0.35">
      <c r="B131" s="12"/>
      <c r="C131" s="11"/>
      <c r="D131" s="11"/>
      <c r="E131" s="11"/>
      <c r="F131" s="1" t="str">
        <f t="shared" si="4"/>
        <v/>
      </c>
      <c r="G131" s="1" t="str">
        <f t="shared" si="5"/>
        <v/>
      </c>
      <c r="H131" s="1" t="str">
        <f t="shared" si="6"/>
        <v/>
      </c>
      <c r="I131" s="1" t="str">
        <f>IF($L131="","",INDEX(Ref_AccountRules,$L131,3))</f>
        <v/>
      </c>
      <c r="J131" s="1" t="str">
        <f>IF($L131="","",INDEX(Ref_AccountRules,$L131,4))</f>
        <v/>
      </c>
      <c r="K131" s="1" t="str">
        <f>IF($L131="","",INDEX(Ref_AccountRules,$L131,5))</f>
        <v/>
      </c>
      <c r="L131" s="1" t="str">
        <f t="shared" si="7"/>
        <v/>
      </c>
    </row>
    <row r="132" spans="2:12" x14ac:dyDescent="0.35">
      <c r="B132" s="12"/>
      <c r="C132" s="11"/>
      <c r="D132" s="11"/>
      <c r="E132" s="11"/>
      <c r="F132" s="1" t="str">
        <f t="shared" si="4"/>
        <v/>
      </c>
      <c r="G132" s="1" t="str">
        <f t="shared" si="5"/>
        <v/>
      </c>
      <c r="H132" s="1" t="str">
        <f t="shared" si="6"/>
        <v/>
      </c>
      <c r="I132" s="1" t="str">
        <f>IF($L132="","",INDEX(Ref_AccountRules,$L132,3))</f>
        <v/>
      </c>
      <c r="J132" s="1" t="str">
        <f>IF($L132="","",INDEX(Ref_AccountRules,$L132,4))</f>
        <v/>
      </c>
      <c r="K132" s="1" t="str">
        <f>IF($L132="","",INDEX(Ref_AccountRules,$L132,5))</f>
        <v/>
      </c>
      <c r="L132" s="1" t="str">
        <f t="shared" si="7"/>
        <v/>
      </c>
    </row>
    <row r="133" spans="2:12" x14ac:dyDescent="0.35">
      <c r="B133" s="12"/>
      <c r="C133" s="11"/>
      <c r="D133" s="11"/>
      <c r="E133" s="11"/>
      <c r="F133" s="1" t="str">
        <f t="shared" si="4"/>
        <v/>
      </c>
      <c r="G133" s="1" t="str">
        <f t="shared" si="5"/>
        <v/>
      </c>
      <c r="H133" s="1" t="str">
        <f t="shared" si="6"/>
        <v/>
      </c>
      <c r="I133" s="1" t="str">
        <f>IF($L133="","",INDEX(Ref_AccountRules,$L133,3))</f>
        <v/>
      </c>
      <c r="J133" s="1" t="str">
        <f>IF($L133="","",INDEX(Ref_AccountRules,$L133,4))</f>
        <v/>
      </c>
      <c r="K133" s="1" t="str">
        <f>IF($L133="","",INDEX(Ref_AccountRules,$L133,5))</f>
        <v/>
      </c>
      <c r="L133" s="1" t="str">
        <f t="shared" si="7"/>
        <v/>
      </c>
    </row>
    <row r="134" spans="2:12" x14ac:dyDescent="0.35">
      <c r="B134" s="12"/>
      <c r="C134" s="11"/>
      <c r="D134" s="11"/>
      <c r="E134" s="11"/>
      <c r="F134" s="1" t="str">
        <f t="shared" si="4"/>
        <v/>
      </c>
      <c r="G134" s="1" t="str">
        <f t="shared" si="5"/>
        <v/>
      </c>
      <c r="H134" s="1" t="str">
        <f t="shared" si="6"/>
        <v/>
      </c>
      <c r="I134" s="1" t="str">
        <f>IF($L134="","",INDEX(Ref_AccountRules,$L134,3))</f>
        <v/>
      </c>
      <c r="J134" s="1" t="str">
        <f>IF($L134="","",INDEX(Ref_AccountRules,$L134,4))</f>
        <v/>
      </c>
      <c r="K134" s="1" t="str">
        <f>IF($L134="","",INDEX(Ref_AccountRules,$L134,5))</f>
        <v/>
      </c>
      <c r="L134" s="1" t="str">
        <f t="shared" si="7"/>
        <v/>
      </c>
    </row>
    <row r="135" spans="2:12" x14ac:dyDescent="0.35">
      <c r="B135" s="12"/>
      <c r="C135" s="11"/>
      <c r="D135" s="11"/>
      <c r="E135" s="11"/>
      <c r="F135" s="1" t="str">
        <f t="shared" si="4"/>
        <v/>
      </c>
      <c r="G135" s="1" t="str">
        <f t="shared" si="5"/>
        <v/>
      </c>
      <c r="H135" s="1" t="str">
        <f t="shared" si="6"/>
        <v/>
      </c>
      <c r="I135" s="1" t="str">
        <f>IF($L135="","",INDEX(Ref_AccountRules,$L135,3))</f>
        <v/>
      </c>
      <c r="J135" s="1" t="str">
        <f>IF($L135="","",INDEX(Ref_AccountRules,$L135,4))</f>
        <v/>
      </c>
      <c r="K135" s="1" t="str">
        <f>IF($L135="","",INDEX(Ref_AccountRules,$L135,5))</f>
        <v/>
      </c>
      <c r="L135" s="1" t="str">
        <f t="shared" si="7"/>
        <v/>
      </c>
    </row>
    <row r="136" spans="2:12" x14ac:dyDescent="0.35">
      <c r="B136" s="12"/>
      <c r="C136" s="11"/>
      <c r="D136" s="11"/>
      <c r="E136" s="11"/>
      <c r="F136" s="1" t="str">
        <f t="shared" si="4"/>
        <v/>
      </c>
      <c r="G136" s="1" t="str">
        <f t="shared" si="5"/>
        <v/>
      </c>
      <c r="H136" s="1" t="str">
        <f t="shared" si="6"/>
        <v/>
      </c>
      <c r="I136" s="1" t="str">
        <f>IF($L136="","",INDEX(Ref_AccountRules,$L136,3))</f>
        <v/>
      </c>
      <c r="J136" s="1" t="str">
        <f>IF($L136="","",INDEX(Ref_AccountRules,$L136,4))</f>
        <v/>
      </c>
      <c r="K136" s="1" t="str">
        <f>IF($L136="","",INDEX(Ref_AccountRules,$L136,5))</f>
        <v/>
      </c>
      <c r="L136" s="1" t="str">
        <f t="shared" si="7"/>
        <v/>
      </c>
    </row>
    <row r="137" spans="2:12" x14ac:dyDescent="0.35">
      <c r="B137" s="12"/>
      <c r="C137" s="11"/>
      <c r="D137" s="11"/>
      <c r="E137" s="11"/>
      <c r="F137" s="1" t="str">
        <f t="shared" si="4"/>
        <v/>
      </c>
      <c r="G137" s="1" t="str">
        <f t="shared" si="5"/>
        <v/>
      </c>
      <c r="H137" s="1" t="str">
        <f t="shared" si="6"/>
        <v/>
      </c>
      <c r="I137" s="1" t="str">
        <f>IF($L137="","",INDEX(Ref_AccountRules,$L137,3))</f>
        <v/>
      </c>
      <c r="J137" s="1" t="str">
        <f>IF($L137="","",INDEX(Ref_AccountRules,$L137,4))</f>
        <v/>
      </c>
      <c r="K137" s="1" t="str">
        <f>IF($L137="","",INDEX(Ref_AccountRules,$L137,5))</f>
        <v/>
      </c>
      <c r="L137" s="1" t="str">
        <f t="shared" si="7"/>
        <v/>
      </c>
    </row>
    <row r="138" spans="2:12" x14ac:dyDescent="0.35">
      <c r="B138" s="12"/>
      <c r="C138" s="11"/>
      <c r="D138" s="11"/>
      <c r="E138" s="11"/>
      <c r="F138" s="1" t="str">
        <f t="shared" si="4"/>
        <v/>
      </c>
      <c r="G138" s="1" t="str">
        <f t="shared" si="5"/>
        <v/>
      </c>
      <c r="H138" s="1" t="str">
        <f t="shared" si="6"/>
        <v/>
      </c>
      <c r="I138" s="1" t="str">
        <f>IF($L138="","",INDEX(Ref_AccountRules,$L138,3))</f>
        <v/>
      </c>
      <c r="J138" s="1" t="str">
        <f>IF($L138="","",INDEX(Ref_AccountRules,$L138,4))</f>
        <v/>
      </c>
      <c r="K138" s="1" t="str">
        <f>IF($L138="","",INDEX(Ref_AccountRules,$L138,5))</f>
        <v/>
      </c>
      <c r="L138" s="1" t="str">
        <f t="shared" si="7"/>
        <v/>
      </c>
    </row>
    <row r="139" spans="2:12" x14ac:dyDescent="0.35">
      <c r="B139" s="12"/>
      <c r="C139" s="11"/>
      <c r="D139" s="11"/>
      <c r="E139" s="11"/>
      <c r="F139" s="1" t="str">
        <f t="shared" ref="F139:F202" si="8">IF($B139="","",E139-D139)</f>
        <v/>
      </c>
      <c r="G139" s="1" t="str">
        <f t="shared" ref="G139:G202" si="9">IF($B139="","",IF(D139=0,0,(E139-D139)/ABS(D139)*100))</f>
        <v/>
      </c>
      <c r="H139" s="1" t="str">
        <f t="shared" ref="H139:H202" si="10">IF($B139="","",IF(LEFT($B139,6)="606880","emballages",IF(LEFT($B139,4)="6068","emballages",IF(LEFT($B139,3)="606","energie_dechets",IF(LEFT($B139,3)="164","tresorerie_financement",IF(LEFT($B139,2)="20","immobilisations",IF(LEFT($B139,2)="21","immobilisations",IF(LEFT($B139,2)="22","immobilisations",IF(LEFT($B139,2)="23","immobilisations",IF(LEFT($B139,2)="28","immobilisations",IF(LEFT($B139,2)="40","fournisseurs",IF(LEFT($B139,2)="41","clients",IF(LEFT($B139,2)="32","stocks",IF(LEFT($B139,2)="60","charges",IF(LEFT($B139,2)="61","services",IF(LEFT($B139,2)="62","personnel",IF(LEFT($B139,2)="63","fiscal",IF(LEFT($B139,2)="64","financier","autres"))))))))))))))))))</f>
        <v/>
      </c>
      <c r="I139" s="1" t="str">
        <f>IF($L139="","",INDEX(Ref_AccountRules,$L139,3))</f>
        <v/>
      </c>
      <c r="J139" s="1" t="str">
        <f>IF($L139="","",INDEX(Ref_AccountRules,$L139,4))</f>
        <v/>
      </c>
      <c r="K139" s="1" t="str">
        <f>IF($L139="","",INDEX(Ref_AccountRules,$L139,5))</f>
        <v/>
      </c>
      <c r="L139" s="1" t="str">
        <f t="shared" ref="L139:L202" si="11">IF($B139="","",IF(LEFT($B139,3)="215",1,IF(LEFT($B139,4)="2183",2,IF(LEFT($B139,3)="401",3,IF(LEFT($B139,3)="411",4,IF(LEFT($B139,3)="322",5,IF(LEFT($B139,4)="3220",6,IF(LEFT($B139,5)="32200",7,IF(LEFT($B139,3)="625",8,IF(LEFT($B139,3)="606",9,IF(LEFT($B139,3)="164",10,IF(LEFT($B139,6)="606880",11,""))))))))))))</f>
        <v/>
      </c>
    </row>
    <row r="140" spans="2:12" x14ac:dyDescent="0.35">
      <c r="B140" s="12"/>
      <c r="C140" s="11"/>
      <c r="D140" s="11"/>
      <c r="E140" s="11"/>
      <c r="F140" s="1" t="str">
        <f t="shared" si="8"/>
        <v/>
      </c>
      <c r="G140" s="1" t="str">
        <f t="shared" si="9"/>
        <v/>
      </c>
      <c r="H140" s="1" t="str">
        <f t="shared" si="10"/>
        <v/>
      </c>
      <c r="I140" s="1" t="str">
        <f>IF($L140="","",INDEX(Ref_AccountRules,$L140,3))</f>
        <v/>
      </c>
      <c r="J140" s="1" t="str">
        <f>IF($L140="","",INDEX(Ref_AccountRules,$L140,4))</f>
        <v/>
      </c>
      <c r="K140" s="1" t="str">
        <f>IF($L140="","",INDEX(Ref_AccountRules,$L140,5))</f>
        <v/>
      </c>
      <c r="L140" s="1" t="str">
        <f t="shared" si="11"/>
        <v/>
      </c>
    </row>
    <row r="141" spans="2:12" x14ac:dyDescent="0.35">
      <c r="B141" s="12"/>
      <c r="C141" s="11"/>
      <c r="D141" s="11"/>
      <c r="E141" s="11"/>
      <c r="F141" s="1" t="str">
        <f t="shared" si="8"/>
        <v/>
      </c>
      <c r="G141" s="1" t="str">
        <f t="shared" si="9"/>
        <v/>
      </c>
      <c r="H141" s="1" t="str">
        <f t="shared" si="10"/>
        <v/>
      </c>
      <c r="I141" s="1" t="str">
        <f>IF($L141="","",INDEX(Ref_AccountRules,$L141,3))</f>
        <v/>
      </c>
      <c r="J141" s="1" t="str">
        <f>IF($L141="","",INDEX(Ref_AccountRules,$L141,4))</f>
        <v/>
      </c>
      <c r="K141" s="1" t="str">
        <f>IF($L141="","",INDEX(Ref_AccountRules,$L141,5))</f>
        <v/>
      </c>
      <c r="L141" s="1" t="str">
        <f t="shared" si="11"/>
        <v/>
      </c>
    </row>
    <row r="142" spans="2:12" x14ac:dyDescent="0.35">
      <c r="B142" s="12"/>
      <c r="C142" s="11"/>
      <c r="D142" s="11"/>
      <c r="E142" s="11"/>
      <c r="F142" s="1" t="str">
        <f t="shared" si="8"/>
        <v/>
      </c>
      <c r="G142" s="1" t="str">
        <f t="shared" si="9"/>
        <v/>
      </c>
      <c r="H142" s="1" t="str">
        <f t="shared" si="10"/>
        <v/>
      </c>
      <c r="I142" s="1" t="str">
        <f>IF($L142="","",INDEX(Ref_AccountRules,$L142,3))</f>
        <v/>
      </c>
      <c r="J142" s="1" t="str">
        <f>IF($L142="","",INDEX(Ref_AccountRules,$L142,4))</f>
        <v/>
      </c>
      <c r="K142" s="1" t="str">
        <f>IF($L142="","",INDEX(Ref_AccountRules,$L142,5))</f>
        <v/>
      </c>
      <c r="L142" s="1" t="str">
        <f t="shared" si="11"/>
        <v/>
      </c>
    </row>
    <row r="143" spans="2:12" x14ac:dyDescent="0.35">
      <c r="B143" s="12"/>
      <c r="C143" s="11"/>
      <c r="D143" s="11"/>
      <c r="E143" s="11"/>
      <c r="F143" s="1" t="str">
        <f t="shared" si="8"/>
        <v/>
      </c>
      <c r="G143" s="1" t="str">
        <f t="shared" si="9"/>
        <v/>
      </c>
      <c r="H143" s="1" t="str">
        <f t="shared" si="10"/>
        <v/>
      </c>
      <c r="I143" s="1" t="str">
        <f>IF($L143="","",INDEX(Ref_AccountRules,$L143,3))</f>
        <v/>
      </c>
      <c r="J143" s="1" t="str">
        <f>IF($L143="","",INDEX(Ref_AccountRules,$L143,4))</f>
        <v/>
      </c>
      <c r="K143" s="1" t="str">
        <f>IF($L143="","",INDEX(Ref_AccountRules,$L143,5))</f>
        <v/>
      </c>
      <c r="L143" s="1" t="str">
        <f t="shared" si="11"/>
        <v/>
      </c>
    </row>
    <row r="144" spans="2:12" x14ac:dyDescent="0.35">
      <c r="B144" s="12"/>
      <c r="C144" s="11"/>
      <c r="D144" s="11"/>
      <c r="E144" s="11"/>
      <c r="F144" s="1" t="str">
        <f t="shared" si="8"/>
        <v/>
      </c>
      <c r="G144" s="1" t="str">
        <f t="shared" si="9"/>
        <v/>
      </c>
      <c r="H144" s="1" t="str">
        <f t="shared" si="10"/>
        <v/>
      </c>
      <c r="I144" s="1" t="str">
        <f>IF($L144="","",INDEX(Ref_AccountRules,$L144,3))</f>
        <v/>
      </c>
      <c r="J144" s="1" t="str">
        <f>IF($L144="","",INDEX(Ref_AccountRules,$L144,4))</f>
        <v/>
      </c>
      <c r="K144" s="1" t="str">
        <f>IF($L144="","",INDEX(Ref_AccountRules,$L144,5))</f>
        <v/>
      </c>
      <c r="L144" s="1" t="str">
        <f t="shared" si="11"/>
        <v/>
      </c>
    </row>
    <row r="145" spans="2:12" x14ac:dyDescent="0.35">
      <c r="B145" s="12"/>
      <c r="C145" s="11"/>
      <c r="D145" s="11"/>
      <c r="E145" s="11"/>
      <c r="F145" s="1" t="str">
        <f t="shared" si="8"/>
        <v/>
      </c>
      <c r="G145" s="1" t="str">
        <f t="shared" si="9"/>
        <v/>
      </c>
      <c r="H145" s="1" t="str">
        <f t="shared" si="10"/>
        <v/>
      </c>
      <c r="I145" s="1" t="str">
        <f>IF($L145="","",INDEX(Ref_AccountRules,$L145,3))</f>
        <v/>
      </c>
      <c r="J145" s="1" t="str">
        <f>IF($L145="","",INDEX(Ref_AccountRules,$L145,4))</f>
        <v/>
      </c>
      <c r="K145" s="1" t="str">
        <f>IF($L145="","",INDEX(Ref_AccountRules,$L145,5))</f>
        <v/>
      </c>
      <c r="L145" s="1" t="str">
        <f t="shared" si="11"/>
        <v/>
      </c>
    </row>
    <row r="146" spans="2:12" x14ac:dyDescent="0.35">
      <c r="B146" s="12"/>
      <c r="C146" s="11"/>
      <c r="D146" s="11"/>
      <c r="E146" s="11"/>
      <c r="F146" s="1" t="str">
        <f t="shared" si="8"/>
        <v/>
      </c>
      <c r="G146" s="1" t="str">
        <f t="shared" si="9"/>
        <v/>
      </c>
      <c r="H146" s="1" t="str">
        <f t="shared" si="10"/>
        <v/>
      </c>
      <c r="I146" s="1" t="str">
        <f>IF($L146="","",INDEX(Ref_AccountRules,$L146,3))</f>
        <v/>
      </c>
      <c r="J146" s="1" t="str">
        <f>IF($L146="","",INDEX(Ref_AccountRules,$L146,4))</f>
        <v/>
      </c>
      <c r="K146" s="1" t="str">
        <f>IF($L146="","",INDEX(Ref_AccountRules,$L146,5))</f>
        <v/>
      </c>
      <c r="L146" s="1" t="str">
        <f t="shared" si="11"/>
        <v/>
      </c>
    </row>
    <row r="147" spans="2:12" x14ac:dyDescent="0.35">
      <c r="B147" s="12"/>
      <c r="C147" s="11"/>
      <c r="D147" s="11"/>
      <c r="E147" s="11"/>
      <c r="F147" s="1" t="str">
        <f t="shared" si="8"/>
        <v/>
      </c>
      <c r="G147" s="1" t="str">
        <f t="shared" si="9"/>
        <v/>
      </c>
      <c r="H147" s="1" t="str">
        <f t="shared" si="10"/>
        <v/>
      </c>
      <c r="I147" s="1" t="str">
        <f>IF($L147="","",INDEX(Ref_AccountRules,$L147,3))</f>
        <v/>
      </c>
      <c r="J147" s="1" t="str">
        <f>IF($L147="","",INDEX(Ref_AccountRules,$L147,4))</f>
        <v/>
      </c>
      <c r="K147" s="1" t="str">
        <f>IF($L147="","",INDEX(Ref_AccountRules,$L147,5))</f>
        <v/>
      </c>
      <c r="L147" s="1" t="str">
        <f t="shared" si="11"/>
        <v/>
      </c>
    </row>
    <row r="148" spans="2:12" x14ac:dyDescent="0.35">
      <c r="B148" s="12"/>
      <c r="C148" s="11"/>
      <c r="D148" s="11"/>
      <c r="E148" s="11"/>
      <c r="F148" s="1" t="str">
        <f t="shared" si="8"/>
        <v/>
      </c>
      <c r="G148" s="1" t="str">
        <f t="shared" si="9"/>
        <v/>
      </c>
      <c r="H148" s="1" t="str">
        <f t="shared" si="10"/>
        <v/>
      </c>
      <c r="I148" s="1" t="str">
        <f>IF($L148="","",INDEX(Ref_AccountRules,$L148,3))</f>
        <v/>
      </c>
      <c r="J148" s="1" t="str">
        <f>IF($L148="","",INDEX(Ref_AccountRules,$L148,4))</f>
        <v/>
      </c>
      <c r="K148" s="1" t="str">
        <f>IF($L148="","",INDEX(Ref_AccountRules,$L148,5))</f>
        <v/>
      </c>
      <c r="L148" s="1" t="str">
        <f t="shared" si="11"/>
        <v/>
      </c>
    </row>
    <row r="149" spans="2:12" x14ac:dyDescent="0.35">
      <c r="B149" s="12"/>
      <c r="C149" s="11"/>
      <c r="D149" s="11"/>
      <c r="E149" s="11"/>
      <c r="F149" s="1" t="str">
        <f t="shared" si="8"/>
        <v/>
      </c>
      <c r="G149" s="1" t="str">
        <f t="shared" si="9"/>
        <v/>
      </c>
      <c r="H149" s="1" t="str">
        <f t="shared" si="10"/>
        <v/>
      </c>
      <c r="I149" s="1" t="str">
        <f>IF($L149="","",INDEX(Ref_AccountRules,$L149,3))</f>
        <v/>
      </c>
      <c r="J149" s="1" t="str">
        <f>IF($L149="","",INDEX(Ref_AccountRules,$L149,4))</f>
        <v/>
      </c>
      <c r="K149" s="1" t="str">
        <f>IF($L149="","",INDEX(Ref_AccountRules,$L149,5))</f>
        <v/>
      </c>
      <c r="L149" s="1" t="str">
        <f t="shared" si="11"/>
        <v/>
      </c>
    </row>
    <row r="150" spans="2:12" x14ac:dyDescent="0.35">
      <c r="B150" s="12"/>
      <c r="C150" s="11"/>
      <c r="D150" s="11"/>
      <c r="E150" s="11"/>
      <c r="F150" s="1" t="str">
        <f t="shared" si="8"/>
        <v/>
      </c>
      <c r="G150" s="1" t="str">
        <f t="shared" si="9"/>
        <v/>
      </c>
      <c r="H150" s="1" t="str">
        <f t="shared" si="10"/>
        <v/>
      </c>
      <c r="I150" s="1" t="str">
        <f>IF($L150="","",INDEX(Ref_AccountRules,$L150,3))</f>
        <v/>
      </c>
      <c r="J150" s="1" t="str">
        <f>IF($L150="","",INDEX(Ref_AccountRules,$L150,4))</f>
        <v/>
      </c>
      <c r="K150" s="1" t="str">
        <f>IF($L150="","",INDEX(Ref_AccountRules,$L150,5))</f>
        <v/>
      </c>
      <c r="L150" s="1" t="str">
        <f t="shared" si="11"/>
        <v/>
      </c>
    </row>
    <row r="151" spans="2:12" x14ac:dyDescent="0.35">
      <c r="B151" s="12"/>
      <c r="C151" s="11"/>
      <c r="D151" s="11"/>
      <c r="E151" s="11"/>
      <c r="F151" s="1" t="str">
        <f t="shared" si="8"/>
        <v/>
      </c>
      <c r="G151" s="1" t="str">
        <f t="shared" si="9"/>
        <v/>
      </c>
      <c r="H151" s="1" t="str">
        <f t="shared" si="10"/>
        <v/>
      </c>
      <c r="I151" s="1" t="str">
        <f>IF($L151="","",INDEX(Ref_AccountRules,$L151,3))</f>
        <v/>
      </c>
      <c r="J151" s="1" t="str">
        <f>IF($L151="","",INDEX(Ref_AccountRules,$L151,4))</f>
        <v/>
      </c>
      <c r="K151" s="1" t="str">
        <f>IF($L151="","",INDEX(Ref_AccountRules,$L151,5))</f>
        <v/>
      </c>
      <c r="L151" s="1" t="str">
        <f t="shared" si="11"/>
        <v/>
      </c>
    </row>
    <row r="152" spans="2:12" x14ac:dyDescent="0.35">
      <c r="B152" s="12"/>
      <c r="C152" s="11"/>
      <c r="D152" s="11"/>
      <c r="E152" s="11"/>
      <c r="F152" s="1" t="str">
        <f t="shared" si="8"/>
        <v/>
      </c>
      <c r="G152" s="1" t="str">
        <f t="shared" si="9"/>
        <v/>
      </c>
      <c r="H152" s="1" t="str">
        <f t="shared" si="10"/>
        <v/>
      </c>
      <c r="I152" s="1" t="str">
        <f>IF($L152="","",INDEX(Ref_AccountRules,$L152,3))</f>
        <v/>
      </c>
      <c r="J152" s="1" t="str">
        <f>IF($L152="","",INDEX(Ref_AccountRules,$L152,4))</f>
        <v/>
      </c>
      <c r="K152" s="1" t="str">
        <f>IF($L152="","",INDEX(Ref_AccountRules,$L152,5))</f>
        <v/>
      </c>
      <c r="L152" s="1" t="str">
        <f t="shared" si="11"/>
        <v/>
      </c>
    </row>
    <row r="153" spans="2:12" x14ac:dyDescent="0.35">
      <c r="B153" s="12"/>
      <c r="C153" s="11"/>
      <c r="D153" s="11"/>
      <c r="E153" s="11"/>
      <c r="F153" s="1" t="str">
        <f t="shared" si="8"/>
        <v/>
      </c>
      <c r="G153" s="1" t="str">
        <f t="shared" si="9"/>
        <v/>
      </c>
      <c r="H153" s="1" t="str">
        <f t="shared" si="10"/>
        <v/>
      </c>
      <c r="I153" s="1" t="str">
        <f>IF($L153="","",INDEX(Ref_AccountRules,$L153,3))</f>
        <v/>
      </c>
      <c r="J153" s="1" t="str">
        <f>IF($L153="","",INDEX(Ref_AccountRules,$L153,4))</f>
        <v/>
      </c>
      <c r="K153" s="1" t="str">
        <f>IF($L153="","",INDEX(Ref_AccountRules,$L153,5))</f>
        <v/>
      </c>
      <c r="L153" s="1" t="str">
        <f t="shared" si="11"/>
        <v/>
      </c>
    </row>
    <row r="154" spans="2:12" x14ac:dyDescent="0.35">
      <c r="B154" s="12"/>
      <c r="C154" s="11"/>
      <c r="D154" s="11"/>
      <c r="E154" s="11"/>
      <c r="F154" s="1" t="str">
        <f t="shared" si="8"/>
        <v/>
      </c>
      <c r="G154" s="1" t="str">
        <f t="shared" si="9"/>
        <v/>
      </c>
      <c r="H154" s="1" t="str">
        <f t="shared" si="10"/>
        <v/>
      </c>
      <c r="I154" s="1" t="str">
        <f>IF($L154="","",INDEX(Ref_AccountRules,$L154,3))</f>
        <v/>
      </c>
      <c r="J154" s="1" t="str">
        <f>IF($L154="","",INDEX(Ref_AccountRules,$L154,4))</f>
        <v/>
      </c>
      <c r="K154" s="1" t="str">
        <f>IF($L154="","",INDEX(Ref_AccountRules,$L154,5))</f>
        <v/>
      </c>
      <c r="L154" s="1" t="str">
        <f t="shared" si="11"/>
        <v/>
      </c>
    </row>
    <row r="155" spans="2:12" x14ac:dyDescent="0.35">
      <c r="B155" s="12"/>
      <c r="C155" s="11"/>
      <c r="D155" s="11"/>
      <c r="E155" s="11"/>
      <c r="F155" s="1" t="str">
        <f t="shared" si="8"/>
        <v/>
      </c>
      <c r="G155" s="1" t="str">
        <f t="shared" si="9"/>
        <v/>
      </c>
      <c r="H155" s="1" t="str">
        <f t="shared" si="10"/>
        <v/>
      </c>
      <c r="I155" s="1" t="str">
        <f>IF($L155="","",INDEX(Ref_AccountRules,$L155,3))</f>
        <v/>
      </c>
      <c r="J155" s="1" t="str">
        <f>IF($L155="","",INDEX(Ref_AccountRules,$L155,4))</f>
        <v/>
      </c>
      <c r="K155" s="1" t="str">
        <f>IF($L155="","",INDEX(Ref_AccountRules,$L155,5))</f>
        <v/>
      </c>
      <c r="L155" s="1" t="str">
        <f t="shared" si="11"/>
        <v/>
      </c>
    </row>
    <row r="156" spans="2:12" x14ac:dyDescent="0.35">
      <c r="B156" s="12"/>
      <c r="C156" s="11"/>
      <c r="D156" s="11"/>
      <c r="E156" s="11"/>
      <c r="F156" s="1" t="str">
        <f t="shared" si="8"/>
        <v/>
      </c>
      <c r="G156" s="1" t="str">
        <f t="shared" si="9"/>
        <v/>
      </c>
      <c r="H156" s="1" t="str">
        <f t="shared" si="10"/>
        <v/>
      </c>
      <c r="I156" s="1" t="str">
        <f>IF($L156="","",INDEX(Ref_AccountRules,$L156,3))</f>
        <v/>
      </c>
      <c r="J156" s="1" t="str">
        <f>IF($L156="","",INDEX(Ref_AccountRules,$L156,4))</f>
        <v/>
      </c>
      <c r="K156" s="1" t="str">
        <f>IF($L156="","",INDEX(Ref_AccountRules,$L156,5))</f>
        <v/>
      </c>
      <c r="L156" s="1" t="str">
        <f t="shared" si="11"/>
        <v/>
      </c>
    </row>
    <row r="157" spans="2:12" x14ac:dyDescent="0.35">
      <c r="B157" s="12"/>
      <c r="C157" s="11"/>
      <c r="D157" s="11"/>
      <c r="E157" s="11"/>
      <c r="F157" s="1" t="str">
        <f t="shared" si="8"/>
        <v/>
      </c>
      <c r="G157" s="1" t="str">
        <f t="shared" si="9"/>
        <v/>
      </c>
      <c r="H157" s="1" t="str">
        <f t="shared" si="10"/>
        <v/>
      </c>
      <c r="I157" s="1" t="str">
        <f>IF($L157="","",INDEX(Ref_AccountRules,$L157,3))</f>
        <v/>
      </c>
      <c r="J157" s="1" t="str">
        <f>IF($L157="","",INDEX(Ref_AccountRules,$L157,4))</f>
        <v/>
      </c>
      <c r="K157" s="1" t="str">
        <f>IF($L157="","",INDEX(Ref_AccountRules,$L157,5))</f>
        <v/>
      </c>
      <c r="L157" s="1" t="str">
        <f t="shared" si="11"/>
        <v/>
      </c>
    </row>
    <row r="158" spans="2:12" x14ac:dyDescent="0.35">
      <c r="B158" s="12"/>
      <c r="C158" s="11"/>
      <c r="D158" s="11"/>
      <c r="E158" s="11"/>
      <c r="F158" s="1" t="str">
        <f t="shared" si="8"/>
        <v/>
      </c>
      <c r="G158" s="1" t="str">
        <f t="shared" si="9"/>
        <v/>
      </c>
      <c r="H158" s="1" t="str">
        <f t="shared" si="10"/>
        <v/>
      </c>
      <c r="I158" s="1" t="str">
        <f>IF($L158="","",INDEX(Ref_AccountRules,$L158,3))</f>
        <v/>
      </c>
      <c r="J158" s="1" t="str">
        <f>IF($L158="","",INDEX(Ref_AccountRules,$L158,4))</f>
        <v/>
      </c>
      <c r="K158" s="1" t="str">
        <f>IF($L158="","",INDEX(Ref_AccountRules,$L158,5))</f>
        <v/>
      </c>
      <c r="L158" s="1" t="str">
        <f t="shared" si="11"/>
        <v/>
      </c>
    </row>
    <row r="159" spans="2:12" x14ac:dyDescent="0.35">
      <c r="B159" s="12"/>
      <c r="C159" s="11"/>
      <c r="D159" s="11"/>
      <c r="E159" s="11"/>
      <c r="F159" s="1" t="str">
        <f t="shared" si="8"/>
        <v/>
      </c>
      <c r="G159" s="1" t="str">
        <f t="shared" si="9"/>
        <v/>
      </c>
      <c r="H159" s="1" t="str">
        <f t="shared" si="10"/>
        <v/>
      </c>
      <c r="I159" s="1" t="str">
        <f>IF($L159="","",INDEX(Ref_AccountRules,$L159,3))</f>
        <v/>
      </c>
      <c r="J159" s="1" t="str">
        <f>IF($L159="","",INDEX(Ref_AccountRules,$L159,4))</f>
        <v/>
      </c>
      <c r="K159" s="1" t="str">
        <f>IF($L159="","",INDEX(Ref_AccountRules,$L159,5))</f>
        <v/>
      </c>
      <c r="L159" s="1" t="str">
        <f t="shared" si="11"/>
        <v/>
      </c>
    </row>
    <row r="160" spans="2:12" x14ac:dyDescent="0.35">
      <c r="B160" s="12"/>
      <c r="C160" s="11"/>
      <c r="D160" s="11"/>
      <c r="E160" s="11"/>
      <c r="F160" s="1" t="str">
        <f t="shared" si="8"/>
        <v/>
      </c>
      <c r="G160" s="1" t="str">
        <f t="shared" si="9"/>
        <v/>
      </c>
      <c r="H160" s="1" t="str">
        <f t="shared" si="10"/>
        <v/>
      </c>
      <c r="I160" s="1" t="str">
        <f>IF($L160="","",INDEX(Ref_AccountRules,$L160,3))</f>
        <v/>
      </c>
      <c r="J160" s="1" t="str">
        <f>IF($L160="","",INDEX(Ref_AccountRules,$L160,4))</f>
        <v/>
      </c>
      <c r="K160" s="1" t="str">
        <f>IF($L160="","",INDEX(Ref_AccountRules,$L160,5))</f>
        <v/>
      </c>
      <c r="L160" s="1" t="str">
        <f t="shared" si="11"/>
        <v/>
      </c>
    </row>
    <row r="161" spans="2:12" x14ac:dyDescent="0.35">
      <c r="B161" s="12"/>
      <c r="C161" s="11"/>
      <c r="D161" s="11"/>
      <c r="E161" s="11"/>
      <c r="F161" s="1" t="str">
        <f t="shared" si="8"/>
        <v/>
      </c>
      <c r="G161" s="1" t="str">
        <f t="shared" si="9"/>
        <v/>
      </c>
      <c r="H161" s="1" t="str">
        <f t="shared" si="10"/>
        <v/>
      </c>
      <c r="I161" s="1" t="str">
        <f>IF($L161="","",INDEX(Ref_AccountRules,$L161,3))</f>
        <v/>
      </c>
      <c r="J161" s="1" t="str">
        <f>IF($L161="","",INDEX(Ref_AccountRules,$L161,4))</f>
        <v/>
      </c>
      <c r="K161" s="1" t="str">
        <f>IF($L161="","",INDEX(Ref_AccountRules,$L161,5))</f>
        <v/>
      </c>
      <c r="L161" s="1" t="str">
        <f t="shared" si="11"/>
        <v/>
      </c>
    </row>
    <row r="162" spans="2:12" x14ac:dyDescent="0.35">
      <c r="B162" s="12"/>
      <c r="C162" s="11"/>
      <c r="D162" s="11"/>
      <c r="E162" s="11"/>
      <c r="F162" s="1" t="str">
        <f t="shared" si="8"/>
        <v/>
      </c>
      <c r="G162" s="1" t="str">
        <f t="shared" si="9"/>
        <v/>
      </c>
      <c r="H162" s="1" t="str">
        <f t="shared" si="10"/>
        <v/>
      </c>
      <c r="I162" s="1" t="str">
        <f>IF($L162="","",INDEX(Ref_AccountRules,$L162,3))</f>
        <v/>
      </c>
      <c r="J162" s="1" t="str">
        <f>IF($L162="","",INDEX(Ref_AccountRules,$L162,4))</f>
        <v/>
      </c>
      <c r="K162" s="1" t="str">
        <f>IF($L162="","",INDEX(Ref_AccountRules,$L162,5))</f>
        <v/>
      </c>
      <c r="L162" s="1" t="str">
        <f t="shared" si="11"/>
        <v/>
      </c>
    </row>
    <row r="163" spans="2:12" x14ac:dyDescent="0.35">
      <c r="B163" s="12"/>
      <c r="C163" s="11"/>
      <c r="D163" s="11"/>
      <c r="E163" s="11"/>
      <c r="F163" s="1" t="str">
        <f t="shared" si="8"/>
        <v/>
      </c>
      <c r="G163" s="1" t="str">
        <f t="shared" si="9"/>
        <v/>
      </c>
      <c r="H163" s="1" t="str">
        <f t="shared" si="10"/>
        <v/>
      </c>
      <c r="I163" s="1" t="str">
        <f>IF($L163="","",INDEX(Ref_AccountRules,$L163,3))</f>
        <v/>
      </c>
      <c r="J163" s="1" t="str">
        <f>IF($L163="","",INDEX(Ref_AccountRules,$L163,4))</f>
        <v/>
      </c>
      <c r="K163" s="1" t="str">
        <f>IF($L163="","",INDEX(Ref_AccountRules,$L163,5))</f>
        <v/>
      </c>
      <c r="L163" s="1" t="str">
        <f t="shared" si="11"/>
        <v/>
      </c>
    </row>
    <row r="164" spans="2:12" x14ac:dyDescent="0.35">
      <c r="B164" s="12"/>
      <c r="C164" s="11"/>
      <c r="D164" s="11"/>
      <c r="E164" s="11"/>
      <c r="F164" s="1" t="str">
        <f t="shared" si="8"/>
        <v/>
      </c>
      <c r="G164" s="1" t="str">
        <f t="shared" si="9"/>
        <v/>
      </c>
      <c r="H164" s="1" t="str">
        <f t="shared" si="10"/>
        <v/>
      </c>
      <c r="I164" s="1" t="str">
        <f>IF($L164="","",INDEX(Ref_AccountRules,$L164,3))</f>
        <v/>
      </c>
      <c r="J164" s="1" t="str">
        <f>IF($L164="","",INDEX(Ref_AccountRules,$L164,4))</f>
        <v/>
      </c>
      <c r="K164" s="1" t="str">
        <f>IF($L164="","",INDEX(Ref_AccountRules,$L164,5))</f>
        <v/>
      </c>
      <c r="L164" s="1" t="str">
        <f t="shared" si="11"/>
        <v/>
      </c>
    </row>
    <row r="165" spans="2:12" x14ac:dyDescent="0.35">
      <c r="B165" s="12"/>
      <c r="C165" s="11"/>
      <c r="D165" s="11"/>
      <c r="E165" s="11"/>
      <c r="F165" s="1" t="str">
        <f t="shared" si="8"/>
        <v/>
      </c>
      <c r="G165" s="1" t="str">
        <f t="shared" si="9"/>
        <v/>
      </c>
      <c r="H165" s="1" t="str">
        <f t="shared" si="10"/>
        <v/>
      </c>
      <c r="I165" s="1" t="str">
        <f>IF($L165="","",INDEX(Ref_AccountRules,$L165,3))</f>
        <v/>
      </c>
      <c r="J165" s="1" t="str">
        <f>IF($L165="","",INDEX(Ref_AccountRules,$L165,4))</f>
        <v/>
      </c>
      <c r="K165" s="1" t="str">
        <f>IF($L165="","",INDEX(Ref_AccountRules,$L165,5))</f>
        <v/>
      </c>
      <c r="L165" s="1" t="str">
        <f t="shared" si="11"/>
        <v/>
      </c>
    </row>
    <row r="166" spans="2:12" x14ac:dyDescent="0.35">
      <c r="B166" s="12"/>
      <c r="C166" s="11"/>
      <c r="D166" s="11"/>
      <c r="E166" s="11"/>
      <c r="F166" s="1" t="str">
        <f t="shared" si="8"/>
        <v/>
      </c>
      <c r="G166" s="1" t="str">
        <f t="shared" si="9"/>
        <v/>
      </c>
      <c r="H166" s="1" t="str">
        <f t="shared" si="10"/>
        <v/>
      </c>
      <c r="I166" s="1" t="str">
        <f>IF($L166="","",INDEX(Ref_AccountRules,$L166,3))</f>
        <v/>
      </c>
      <c r="J166" s="1" t="str">
        <f>IF($L166="","",INDEX(Ref_AccountRules,$L166,4))</f>
        <v/>
      </c>
      <c r="K166" s="1" t="str">
        <f>IF($L166="","",INDEX(Ref_AccountRules,$L166,5))</f>
        <v/>
      </c>
      <c r="L166" s="1" t="str">
        <f t="shared" si="11"/>
        <v/>
      </c>
    </row>
    <row r="167" spans="2:12" x14ac:dyDescent="0.35">
      <c r="B167" s="12"/>
      <c r="C167" s="11"/>
      <c r="D167" s="11"/>
      <c r="E167" s="11"/>
      <c r="F167" s="1" t="str">
        <f t="shared" si="8"/>
        <v/>
      </c>
      <c r="G167" s="1" t="str">
        <f t="shared" si="9"/>
        <v/>
      </c>
      <c r="H167" s="1" t="str">
        <f t="shared" si="10"/>
        <v/>
      </c>
      <c r="I167" s="1" t="str">
        <f>IF($L167="","",INDEX(Ref_AccountRules,$L167,3))</f>
        <v/>
      </c>
      <c r="J167" s="1" t="str">
        <f>IF($L167="","",INDEX(Ref_AccountRules,$L167,4))</f>
        <v/>
      </c>
      <c r="K167" s="1" t="str">
        <f>IF($L167="","",INDEX(Ref_AccountRules,$L167,5))</f>
        <v/>
      </c>
      <c r="L167" s="1" t="str">
        <f t="shared" si="11"/>
        <v/>
      </c>
    </row>
    <row r="168" spans="2:12" x14ac:dyDescent="0.35">
      <c r="B168" s="12"/>
      <c r="C168" s="11"/>
      <c r="D168" s="11"/>
      <c r="E168" s="11"/>
      <c r="F168" s="1" t="str">
        <f t="shared" si="8"/>
        <v/>
      </c>
      <c r="G168" s="1" t="str">
        <f t="shared" si="9"/>
        <v/>
      </c>
      <c r="H168" s="1" t="str">
        <f t="shared" si="10"/>
        <v/>
      </c>
      <c r="I168" s="1" t="str">
        <f>IF($L168="","",INDEX(Ref_AccountRules,$L168,3))</f>
        <v/>
      </c>
      <c r="J168" s="1" t="str">
        <f>IF($L168="","",INDEX(Ref_AccountRules,$L168,4))</f>
        <v/>
      </c>
      <c r="K168" s="1" t="str">
        <f>IF($L168="","",INDEX(Ref_AccountRules,$L168,5))</f>
        <v/>
      </c>
      <c r="L168" s="1" t="str">
        <f t="shared" si="11"/>
        <v/>
      </c>
    </row>
    <row r="169" spans="2:12" x14ac:dyDescent="0.35">
      <c r="B169" s="12"/>
      <c r="C169" s="11"/>
      <c r="D169" s="11"/>
      <c r="E169" s="11"/>
      <c r="F169" s="1" t="str">
        <f t="shared" si="8"/>
        <v/>
      </c>
      <c r="G169" s="1" t="str">
        <f t="shared" si="9"/>
        <v/>
      </c>
      <c r="H169" s="1" t="str">
        <f t="shared" si="10"/>
        <v/>
      </c>
      <c r="I169" s="1" t="str">
        <f>IF($L169="","",INDEX(Ref_AccountRules,$L169,3))</f>
        <v/>
      </c>
      <c r="J169" s="1" t="str">
        <f>IF($L169="","",INDEX(Ref_AccountRules,$L169,4))</f>
        <v/>
      </c>
      <c r="K169" s="1" t="str">
        <f>IF($L169="","",INDEX(Ref_AccountRules,$L169,5))</f>
        <v/>
      </c>
      <c r="L169" s="1" t="str">
        <f t="shared" si="11"/>
        <v/>
      </c>
    </row>
    <row r="170" spans="2:12" x14ac:dyDescent="0.35">
      <c r="B170" s="12"/>
      <c r="C170" s="11"/>
      <c r="D170" s="11"/>
      <c r="E170" s="11"/>
      <c r="F170" s="1" t="str">
        <f t="shared" si="8"/>
        <v/>
      </c>
      <c r="G170" s="1" t="str">
        <f t="shared" si="9"/>
        <v/>
      </c>
      <c r="H170" s="1" t="str">
        <f t="shared" si="10"/>
        <v/>
      </c>
      <c r="I170" s="1" t="str">
        <f>IF($L170="","",INDEX(Ref_AccountRules,$L170,3))</f>
        <v/>
      </c>
      <c r="J170" s="1" t="str">
        <f>IF($L170="","",INDEX(Ref_AccountRules,$L170,4))</f>
        <v/>
      </c>
      <c r="K170" s="1" t="str">
        <f>IF($L170="","",INDEX(Ref_AccountRules,$L170,5))</f>
        <v/>
      </c>
      <c r="L170" s="1" t="str">
        <f t="shared" si="11"/>
        <v/>
      </c>
    </row>
    <row r="171" spans="2:12" x14ac:dyDescent="0.35">
      <c r="B171" s="12"/>
      <c r="C171" s="11"/>
      <c r="D171" s="11"/>
      <c r="E171" s="11"/>
      <c r="F171" s="1" t="str">
        <f t="shared" si="8"/>
        <v/>
      </c>
      <c r="G171" s="1" t="str">
        <f t="shared" si="9"/>
        <v/>
      </c>
      <c r="H171" s="1" t="str">
        <f t="shared" si="10"/>
        <v/>
      </c>
      <c r="I171" s="1" t="str">
        <f>IF($L171="","",INDEX(Ref_AccountRules,$L171,3))</f>
        <v/>
      </c>
      <c r="J171" s="1" t="str">
        <f>IF($L171="","",INDEX(Ref_AccountRules,$L171,4))</f>
        <v/>
      </c>
      <c r="K171" s="1" t="str">
        <f>IF($L171="","",INDEX(Ref_AccountRules,$L171,5))</f>
        <v/>
      </c>
      <c r="L171" s="1" t="str">
        <f t="shared" si="11"/>
        <v/>
      </c>
    </row>
    <row r="172" spans="2:12" x14ac:dyDescent="0.35">
      <c r="B172" s="12"/>
      <c r="C172" s="11"/>
      <c r="D172" s="11"/>
      <c r="E172" s="11"/>
      <c r="F172" s="1" t="str">
        <f t="shared" si="8"/>
        <v/>
      </c>
      <c r="G172" s="1" t="str">
        <f t="shared" si="9"/>
        <v/>
      </c>
      <c r="H172" s="1" t="str">
        <f t="shared" si="10"/>
        <v/>
      </c>
      <c r="I172" s="1" t="str">
        <f>IF($L172="","",INDEX(Ref_AccountRules,$L172,3))</f>
        <v/>
      </c>
      <c r="J172" s="1" t="str">
        <f>IF($L172="","",INDEX(Ref_AccountRules,$L172,4))</f>
        <v/>
      </c>
      <c r="K172" s="1" t="str">
        <f>IF($L172="","",INDEX(Ref_AccountRules,$L172,5))</f>
        <v/>
      </c>
      <c r="L172" s="1" t="str">
        <f t="shared" si="11"/>
        <v/>
      </c>
    </row>
    <row r="173" spans="2:12" x14ac:dyDescent="0.35">
      <c r="B173" s="12"/>
      <c r="C173" s="11"/>
      <c r="D173" s="11"/>
      <c r="E173" s="11"/>
      <c r="F173" s="1" t="str">
        <f t="shared" si="8"/>
        <v/>
      </c>
      <c r="G173" s="1" t="str">
        <f t="shared" si="9"/>
        <v/>
      </c>
      <c r="H173" s="1" t="str">
        <f t="shared" si="10"/>
        <v/>
      </c>
      <c r="I173" s="1" t="str">
        <f>IF($L173="","",INDEX(Ref_AccountRules,$L173,3))</f>
        <v/>
      </c>
      <c r="J173" s="1" t="str">
        <f>IF($L173="","",INDEX(Ref_AccountRules,$L173,4))</f>
        <v/>
      </c>
      <c r="K173" s="1" t="str">
        <f>IF($L173="","",INDEX(Ref_AccountRules,$L173,5))</f>
        <v/>
      </c>
      <c r="L173" s="1" t="str">
        <f t="shared" si="11"/>
        <v/>
      </c>
    </row>
    <row r="174" spans="2:12" x14ac:dyDescent="0.35">
      <c r="B174" s="12"/>
      <c r="C174" s="11"/>
      <c r="D174" s="11"/>
      <c r="E174" s="11"/>
      <c r="F174" s="1" t="str">
        <f t="shared" si="8"/>
        <v/>
      </c>
      <c r="G174" s="1" t="str">
        <f t="shared" si="9"/>
        <v/>
      </c>
      <c r="H174" s="1" t="str">
        <f t="shared" si="10"/>
        <v/>
      </c>
      <c r="I174" s="1" t="str">
        <f>IF($L174="","",INDEX(Ref_AccountRules,$L174,3))</f>
        <v/>
      </c>
      <c r="J174" s="1" t="str">
        <f>IF($L174="","",INDEX(Ref_AccountRules,$L174,4))</f>
        <v/>
      </c>
      <c r="K174" s="1" t="str">
        <f>IF($L174="","",INDEX(Ref_AccountRules,$L174,5))</f>
        <v/>
      </c>
      <c r="L174" s="1" t="str">
        <f t="shared" si="11"/>
        <v/>
      </c>
    </row>
    <row r="175" spans="2:12" x14ac:dyDescent="0.35">
      <c r="B175" s="12"/>
      <c r="C175" s="11"/>
      <c r="D175" s="11"/>
      <c r="E175" s="11"/>
      <c r="F175" s="1" t="str">
        <f t="shared" si="8"/>
        <v/>
      </c>
      <c r="G175" s="1" t="str">
        <f t="shared" si="9"/>
        <v/>
      </c>
      <c r="H175" s="1" t="str">
        <f t="shared" si="10"/>
        <v/>
      </c>
      <c r="I175" s="1" t="str">
        <f>IF($L175="","",INDEX(Ref_AccountRules,$L175,3))</f>
        <v/>
      </c>
      <c r="J175" s="1" t="str">
        <f>IF($L175="","",INDEX(Ref_AccountRules,$L175,4))</f>
        <v/>
      </c>
      <c r="K175" s="1" t="str">
        <f>IF($L175="","",INDEX(Ref_AccountRules,$L175,5))</f>
        <v/>
      </c>
      <c r="L175" s="1" t="str">
        <f t="shared" si="11"/>
        <v/>
      </c>
    </row>
    <row r="176" spans="2:12" x14ac:dyDescent="0.35">
      <c r="B176" s="12"/>
      <c r="C176" s="11"/>
      <c r="D176" s="11"/>
      <c r="E176" s="11"/>
      <c r="F176" s="1" t="str">
        <f t="shared" si="8"/>
        <v/>
      </c>
      <c r="G176" s="1" t="str">
        <f t="shared" si="9"/>
        <v/>
      </c>
      <c r="H176" s="1" t="str">
        <f t="shared" si="10"/>
        <v/>
      </c>
      <c r="I176" s="1" t="str">
        <f>IF($L176="","",INDEX(Ref_AccountRules,$L176,3))</f>
        <v/>
      </c>
      <c r="J176" s="1" t="str">
        <f>IF($L176="","",INDEX(Ref_AccountRules,$L176,4))</f>
        <v/>
      </c>
      <c r="K176" s="1" t="str">
        <f>IF($L176="","",INDEX(Ref_AccountRules,$L176,5))</f>
        <v/>
      </c>
      <c r="L176" s="1" t="str">
        <f t="shared" si="11"/>
        <v/>
      </c>
    </row>
    <row r="177" spans="2:12" x14ac:dyDescent="0.35">
      <c r="B177" s="12"/>
      <c r="C177" s="11"/>
      <c r="D177" s="11"/>
      <c r="E177" s="11"/>
      <c r="F177" s="1" t="str">
        <f t="shared" si="8"/>
        <v/>
      </c>
      <c r="G177" s="1" t="str">
        <f t="shared" si="9"/>
        <v/>
      </c>
      <c r="H177" s="1" t="str">
        <f t="shared" si="10"/>
        <v/>
      </c>
      <c r="I177" s="1" t="str">
        <f>IF($L177="","",INDEX(Ref_AccountRules,$L177,3))</f>
        <v/>
      </c>
      <c r="J177" s="1" t="str">
        <f>IF($L177="","",INDEX(Ref_AccountRules,$L177,4))</f>
        <v/>
      </c>
      <c r="K177" s="1" t="str">
        <f>IF($L177="","",INDEX(Ref_AccountRules,$L177,5))</f>
        <v/>
      </c>
      <c r="L177" s="1" t="str">
        <f t="shared" si="11"/>
        <v/>
      </c>
    </row>
    <row r="178" spans="2:12" x14ac:dyDescent="0.35">
      <c r="B178" s="12"/>
      <c r="C178" s="11"/>
      <c r="D178" s="11"/>
      <c r="E178" s="11"/>
      <c r="F178" s="1" t="str">
        <f t="shared" si="8"/>
        <v/>
      </c>
      <c r="G178" s="1" t="str">
        <f t="shared" si="9"/>
        <v/>
      </c>
      <c r="H178" s="1" t="str">
        <f t="shared" si="10"/>
        <v/>
      </c>
      <c r="I178" s="1" t="str">
        <f>IF($L178="","",INDEX(Ref_AccountRules,$L178,3))</f>
        <v/>
      </c>
      <c r="J178" s="1" t="str">
        <f>IF($L178="","",INDEX(Ref_AccountRules,$L178,4))</f>
        <v/>
      </c>
      <c r="K178" s="1" t="str">
        <f>IF($L178="","",INDEX(Ref_AccountRules,$L178,5))</f>
        <v/>
      </c>
      <c r="L178" s="1" t="str">
        <f t="shared" si="11"/>
        <v/>
      </c>
    </row>
    <row r="179" spans="2:12" x14ac:dyDescent="0.35">
      <c r="B179" s="12"/>
      <c r="C179" s="11"/>
      <c r="D179" s="11"/>
      <c r="E179" s="11"/>
      <c r="F179" s="1" t="str">
        <f t="shared" si="8"/>
        <v/>
      </c>
      <c r="G179" s="1" t="str">
        <f t="shared" si="9"/>
        <v/>
      </c>
      <c r="H179" s="1" t="str">
        <f t="shared" si="10"/>
        <v/>
      </c>
      <c r="I179" s="1" t="str">
        <f>IF($L179="","",INDEX(Ref_AccountRules,$L179,3))</f>
        <v/>
      </c>
      <c r="J179" s="1" t="str">
        <f>IF($L179="","",INDEX(Ref_AccountRules,$L179,4))</f>
        <v/>
      </c>
      <c r="K179" s="1" t="str">
        <f>IF($L179="","",INDEX(Ref_AccountRules,$L179,5))</f>
        <v/>
      </c>
      <c r="L179" s="1" t="str">
        <f t="shared" si="11"/>
        <v/>
      </c>
    </row>
    <row r="180" spans="2:12" x14ac:dyDescent="0.35">
      <c r="B180" s="12"/>
      <c r="C180" s="11"/>
      <c r="D180" s="11"/>
      <c r="E180" s="11"/>
      <c r="F180" s="1" t="str">
        <f t="shared" si="8"/>
        <v/>
      </c>
      <c r="G180" s="1" t="str">
        <f t="shared" si="9"/>
        <v/>
      </c>
      <c r="H180" s="1" t="str">
        <f t="shared" si="10"/>
        <v/>
      </c>
      <c r="I180" s="1" t="str">
        <f>IF($L180="","",INDEX(Ref_AccountRules,$L180,3))</f>
        <v/>
      </c>
      <c r="J180" s="1" t="str">
        <f>IF($L180="","",INDEX(Ref_AccountRules,$L180,4))</f>
        <v/>
      </c>
      <c r="K180" s="1" t="str">
        <f>IF($L180="","",INDEX(Ref_AccountRules,$L180,5))</f>
        <v/>
      </c>
      <c r="L180" s="1" t="str">
        <f t="shared" si="11"/>
        <v/>
      </c>
    </row>
    <row r="181" spans="2:12" x14ac:dyDescent="0.35">
      <c r="B181" s="12"/>
      <c r="C181" s="11"/>
      <c r="D181" s="11"/>
      <c r="E181" s="11"/>
      <c r="F181" s="1" t="str">
        <f t="shared" si="8"/>
        <v/>
      </c>
      <c r="G181" s="1" t="str">
        <f t="shared" si="9"/>
        <v/>
      </c>
      <c r="H181" s="1" t="str">
        <f t="shared" si="10"/>
        <v/>
      </c>
      <c r="I181" s="1" t="str">
        <f>IF($L181="","",INDEX(Ref_AccountRules,$L181,3))</f>
        <v/>
      </c>
      <c r="J181" s="1" t="str">
        <f>IF($L181="","",INDEX(Ref_AccountRules,$L181,4))</f>
        <v/>
      </c>
      <c r="K181" s="1" t="str">
        <f>IF($L181="","",INDEX(Ref_AccountRules,$L181,5))</f>
        <v/>
      </c>
      <c r="L181" s="1" t="str">
        <f t="shared" si="11"/>
        <v/>
      </c>
    </row>
    <row r="182" spans="2:12" x14ac:dyDescent="0.35">
      <c r="B182" s="12"/>
      <c r="C182" s="11"/>
      <c r="D182" s="11"/>
      <c r="E182" s="11"/>
      <c r="F182" s="1" t="str">
        <f t="shared" si="8"/>
        <v/>
      </c>
      <c r="G182" s="1" t="str">
        <f t="shared" si="9"/>
        <v/>
      </c>
      <c r="H182" s="1" t="str">
        <f t="shared" si="10"/>
        <v/>
      </c>
      <c r="I182" s="1" t="str">
        <f>IF($L182="","",INDEX(Ref_AccountRules,$L182,3))</f>
        <v/>
      </c>
      <c r="J182" s="1" t="str">
        <f>IF($L182="","",INDEX(Ref_AccountRules,$L182,4))</f>
        <v/>
      </c>
      <c r="K182" s="1" t="str">
        <f>IF($L182="","",INDEX(Ref_AccountRules,$L182,5))</f>
        <v/>
      </c>
      <c r="L182" s="1" t="str">
        <f t="shared" si="11"/>
        <v/>
      </c>
    </row>
    <row r="183" spans="2:12" x14ac:dyDescent="0.35">
      <c r="B183" s="12"/>
      <c r="C183" s="11"/>
      <c r="D183" s="11"/>
      <c r="E183" s="11"/>
      <c r="F183" s="1" t="str">
        <f t="shared" si="8"/>
        <v/>
      </c>
      <c r="G183" s="1" t="str">
        <f t="shared" si="9"/>
        <v/>
      </c>
      <c r="H183" s="1" t="str">
        <f t="shared" si="10"/>
        <v/>
      </c>
      <c r="I183" s="1" t="str">
        <f>IF($L183="","",INDEX(Ref_AccountRules,$L183,3))</f>
        <v/>
      </c>
      <c r="J183" s="1" t="str">
        <f>IF($L183="","",INDEX(Ref_AccountRules,$L183,4))</f>
        <v/>
      </c>
      <c r="K183" s="1" t="str">
        <f>IF($L183="","",INDEX(Ref_AccountRules,$L183,5))</f>
        <v/>
      </c>
      <c r="L183" s="1" t="str">
        <f t="shared" si="11"/>
        <v/>
      </c>
    </row>
    <row r="184" spans="2:12" x14ac:dyDescent="0.35">
      <c r="B184" s="12"/>
      <c r="C184" s="11"/>
      <c r="D184" s="11"/>
      <c r="E184" s="11"/>
      <c r="F184" s="1" t="str">
        <f t="shared" si="8"/>
        <v/>
      </c>
      <c r="G184" s="1" t="str">
        <f t="shared" si="9"/>
        <v/>
      </c>
      <c r="H184" s="1" t="str">
        <f t="shared" si="10"/>
        <v/>
      </c>
      <c r="I184" s="1" t="str">
        <f>IF($L184="","",INDEX(Ref_AccountRules,$L184,3))</f>
        <v/>
      </c>
      <c r="J184" s="1" t="str">
        <f>IF($L184="","",INDEX(Ref_AccountRules,$L184,4))</f>
        <v/>
      </c>
      <c r="K184" s="1" t="str">
        <f>IF($L184="","",INDEX(Ref_AccountRules,$L184,5))</f>
        <v/>
      </c>
      <c r="L184" s="1" t="str">
        <f t="shared" si="11"/>
        <v/>
      </c>
    </row>
    <row r="185" spans="2:12" x14ac:dyDescent="0.35">
      <c r="B185" s="12"/>
      <c r="C185" s="11"/>
      <c r="D185" s="11"/>
      <c r="E185" s="11"/>
      <c r="F185" s="1" t="str">
        <f t="shared" si="8"/>
        <v/>
      </c>
      <c r="G185" s="1" t="str">
        <f t="shared" si="9"/>
        <v/>
      </c>
      <c r="H185" s="1" t="str">
        <f t="shared" si="10"/>
        <v/>
      </c>
      <c r="I185" s="1" t="str">
        <f>IF($L185="","",INDEX(Ref_AccountRules,$L185,3))</f>
        <v/>
      </c>
      <c r="J185" s="1" t="str">
        <f>IF($L185="","",INDEX(Ref_AccountRules,$L185,4))</f>
        <v/>
      </c>
      <c r="K185" s="1" t="str">
        <f>IF($L185="","",INDEX(Ref_AccountRules,$L185,5))</f>
        <v/>
      </c>
      <c r="L185" s="1" t="str">
        <f t="shared" si="11"/>
        <v/>
      </c>
    </row>
    <row r="186" spans="2:12" x14ac:dyDescent="0.35">
      <c r="B186" s="12"/>
      <c r="C186" s="11"/>
      <c r="D186" s="11"/>
      <c r="E186" s="11"/>
      <c r="F186" s="1" t="str">
        <f t="shared" si="8"/>
        <v/>
      </c>
      <c r="G186" s="1" t="str">
        <f t="shared" si="9"/>
        <v/>
      </c>
      <c r="H186" s="1" t="str">
        <f t="shared" si="10"/>
        <v/>
      </c>
      <c r="I186" s="1" t="str">
        <f>IF($L186="","",INDEX(Ref_AccountRules,$L186,3))</f>
        <v/>
      </c>
      <c r="J186" s="1" t="str">
        <f>IF($L186="","",INDEX(Ref_AccountRules,$L186,4))</f>
        <v/>
      </c>
      <c r="K186" s="1" t="str">
        <f>IF($L186="","",INDEX(Ref_AccountRules,$L186,5))</f>
        <v/>
      </c>
      <c r="L186" s="1" t="str">
        <f t="shared" si="11"/>
        <v/>
      </c>
    </row>
    <row r="187" spans="2:12" x14ac:dyDescent="0.35">
      <c r="B187" s="12"/>
      <c r="C187" s="11"/>
      <c r="D187" s="11"/>
      <c r="E187" s="11"/>
      <c r="F187" s="1" t="str">
        <f t="shared" si="8"/>
        <v/>
      </c>
      <c r="G187" s="1" t="str">
        <f t="shared" si="9"/>
        <v/>
      </c>
      <c r="H187" s="1" t="str">
        <f t="shared" si="10"/>
        <v/>
      </c>
      <c r="I187" s="1" t="str">
        <f>IF($L187="","",INDEX(Ref_AccountRules,$L187,3))</f>
        <v/>
      </c>
      <c r="J187" s="1" t="str">
        <f>IF($L187="","",INDEX(Ref_AccountRules,$L187,4))</f>
        <v/>
      </c>
      <c r="K187" s="1" t="str">
        <f>IF($L187="","",INDEX(Ref_AccountRules,$L187,5))</f>
        <v/>
      </c>
      <c r="L187" s="1" t="str">
        <f t="shared" si="11"/>
        <v/>
      </c>
    </row>
    <row r="188" spans="2:12" x14ac:dyDescent="0.35">
      <c r="B188" s="12"/>
      <c r="C188" s="11"/>
      <c r="D188" s="11"/>
      <c r="E188" s="11"/>
      <c r="F188" s="1" t="str">
        <f t="shared" si="8"/>
        <v/>
      </c>
      <c r="G188" s="1" t="str">
        <f t="shared" si="9"/>
        <v/>
      </c>
      <c r="H188" s="1" t="str">
        <f t="shared" si="10"/>
        <v/>
      </c>
      <c r="I188" s="1" t="str">
        <f>IF($L188="","",INDEX(Ref_AccountRules,$L188,3))</f>
        <v/>
      </c>
      <c r="J188" s="1" t="str">
        <f>IF($L188="","",INDEX(Ref_AccountRules,$L188,4))</f>
        <v/>
      </c>
      <c r="K188" s="1" t="str">
        <f>IF($L188="","",INDEX(Ref_AccountRules,$L188,5))</f>
        <v/>
      </c>
      <c r="L188" s="1" t="str">
        <f t="shared" si="11"/>
        <v/>
      </c>
    </row>
    <row r="189" spans="2:12" x14ac:dyDescent="0.35">
      <c r="B189" s="12"/>
      <c r="C189" s="11"/>
      <c r="D189" s="11"/>
      <c r="E189" s="11"/>
      <c r="F189" s="1" t="str">
        <f t="shared" si="8"/>
        <v/>
      </c>
      <c r="G189" s="1" t="str">
        <f t="shared" si="9"/>
        <v/>
      </c>
      <c r="H189" s="1" t="str">
        <f t="shared" si="10"/>
        <v/>
      </c>
      <c r="I189" s="1" t="str">
        <f>IF($L189="","",INDEX(Ref_AccountRules,$L189,3))</f>
        <v/>
      </c>
      <c r="J189" s="1" t="str">
        <f>IF($L189="","",INDEX(Ref_AccountRules,$L189,4))</f>
        <v/>
      </c>
      <c r="K189" s="1" t="str">
        <f>IF($L189="","",INDEX(Ref_AccountRules,$L189,5))</f>
        <v/>
      </c>
      <c r="L189" s="1" t="str">
        <f t="shared" si="11"/>
        <v/>
      </c>
    </row>
    <row r="190" spans="2:12" x14ac:dyDescent="0.35">
      <c r="B190" s="12"/>
      <c r="C190" s="11"/>
      <c r="D190" s="11"/>
      <c r="E190" s="11"/>
      <c r="F190" s="1" t="str">
        <f t="shared" si="8"/>
        <v/>
      </c>
      <c r="G190" s="1" t="str">
        <f t="shared" si="9"/>
        <v/>
      </c>
      <c r="H190" s="1" t="str">
        <f t="shared" si="10"/>
        <v/>
      </c>
      <c r="I190" s="1" t="str">
        <f>IF($L190="","",INDEX(Ref_AccountRules,$L190,3))</f>
        <v/>
      </c>
      <c r="J190" s="1" t="str">
        <f>IF($L190="","",INDEX(Ref_AccountRules,$L190,4))</f>
        <v/>
      </c>
      <c r="K190" s="1" t="str">
        <f>IF($L190="","",INDEX(Ref_AccountRules,$L190,5))</f>
        <v/>
      </c>
      <c r="L190" s="1" t="str">
        <f t="shared" si="11"/>
        <v/>
      </c>
    </row>
    <row r="191" spans="2:12" x14ac:dyDescent="0.35">
      <c r="B191" s="12"/>
      <c r="C191" s="11"/>
      <c r="D191" s="11"/>
      <c r="E191" s="11"/>
      <c r="F191" s="1" t="str">
        <f t="shared" si="8"/>
        <v/>
      </c>
      <c r="G191" s="1" t="str">
        <f t="shared" si="9"/>
        <v/>
      </c>
      <c r="H191" s="1" t="str">
        <f t="shared" si="10"/>
        <v/>
      </c>
      <c r="I191" s="1" t="str">
        <f>IF($L191="","",INDEX(Ref_AccountRules,$L191,3))</f>
        <v/>
      </c>
      <c r="J191" s="1" t="str">
        <f>IF($L191="","",INDEX(Ref_AccountRules,$L191,4))</f>
        <v/>
      </c>
      <c r="K191" s="1" t="str">
        <f>IF($L191="","",INDEX(Ref_AccountRules,$L191,5))</f>
        <v/>
      </c>
      <c r="L191" s="1" t="str">
        <f t="shared" si="11"/>
        <v/>
      </c>
    </row>
    <row r="192" spans="2:12" x14ac:dyDescent="0.35">
      <c r="B192" s="12"/>
      <c r="C192" s="11"/>
      <c r="D192" s="11"/>
      <c r="E192" s="11"/>
      <c r="F192" s="1" t="str">
        <f t="shared" si="8"/>
        <v/>
      </c>
      <c r="G192" s="1" t="str">
        <f t="shared" si="9"/>
        <v/>
      </c>
      <c r="H192" s="1" t="str">
        <f t="shared" si="10"/>
        <v/>
      </c>
      <c r="I192" s="1" t="str">
        <f>IF($L192="","",INDEX(Ref_AccountRules,$L192,3))</f>
        <v/>
      </c>
      <c r="J192" s="1" t="str">
        <f>IF($L192="","",INDEX(Ref_AccountRules,$L192,4))</f>
        <v/>
      </c>
      <c r="K192" s="1" t="str">
        <f>IF($L192="","",INDEX(Ref_AccountRules,$L192,5))</f>
        <v/>
      </c>
      <c r="L192" s="1" t="str">
        <f t="shared" si="11"/>
        <v/>
      </c>
    </row>
    <row r="193" spans="2:12" x14ac:dyDescent="0.35">
      <c r="B193" s="12"/>
      <c r="C193" s="11"/>
      <c r="D193" s="11"/>
      <c r="E193" s="11"/>
      <c r="F193" s="1" t="str">
        <f t="shared" si="8"/>
        <v/>
      </c>
      <c r="G193" s="1" t="str">
        <f t="shared" si="9"/>
        <v/>
      </c>
      <c r="H193" s="1" t="str">
        <f t="shared" si="10"/>
        <v/>
      </c>
      <c r="I193" s="1" t="str">
        <f>IF($L193="","",INDEX(Ref_AccountRules,$L193,3))</f>
        <v/>
      </c>
      <c r="J193" s="1" t="str">
        <f>IF($L193="","",INDEX(Ref_AccountRules,$L193,4))</f>
        <v/>
      </c>
      <c r="K193" s="1" t="str">
        <f>IF($L193="","",INDEX(Ref_AccountRules,$L193,5))</f>
        <v/>
      </c>
      <c r="L193" s="1" t="str">
        <f t="shared" si="11"/>
        <v/>
      </c>
    </row>
    <row r="194" spans="2:12" x14ac:dyDescent="0.35">
      <c r="B194" s="12"/>
      <c r="C194" s="11"/>
      <c r="D194" s="11"/>
      <c r="E194" s="11"/>
      <c r="F194" s="1" t="str">
        <f t="shared" si="8"/>
        <v/>
      </c>
      <c r="G194" s="1" t="str">
        <f t="shared" si="9"/>
        <v/>
      </c>
      <c r="H194" s="1" t="str">
        <f t="shared" si="10"/>
        <v/>
      </c>
      <c r="I194" s="1" t="str">
        <f>IF($L194="","",INDEX(Ref_AccountRules,$L194,3))</f>
        <v/>
      </c>
      <c r="J194" s="1" t="str">
        <f>IF($L194="","",INDEX(Ref_AccountRules,$L194,4))</f>
        <v/>
      </c>
      <c r="K194" s="1" t="str">
        <f>IF($L194="","",INDEX(Ref_AccountRules,$L194,5))</f>
        <v/>
      </c>
      <c r="L194" s="1" t="str">
        <f t="shared" si="11"/>
        <v/>
      </c>
    </row>
    <row r="195" spans="2:12" x14ac:dyDescent="0.35">
      <c r="B195" s="12"/>
      <c r="C195" s="11"/>
      <c r="D195" s="11"/>
      <c r="E195" s="11"/>
      <c r="F195" s="1" t="str">
        <f t="shared" si="8"/>
        <v/>
      </c>
      <c r="G195" s="1" t="str">
        <f t="shared" si="9"/>
        <v/>
      </c>
      <c r="H195" s="1" t="str">
        <f t="shared" si="10"/>
        <v/>
      </c>
      <c r="I195" s="1" t="str">
        <f>IF($L195="","",INDEX(Ref_AccountRules,$L195,3))</f>
        <v/>
      </c>
      <c r="J195" s="1" t="str">
        <f>IF($L195="","",INDEX(Ref_AccountRules,$L195,4))</f>
        <v/>
      </c>
      <c r="K195" s="1" t="str">
        <f>IF($L195="","",INDEX(Ref_AccountRules,$L195,5))</f>
        <v/>
      </c>
      <c r="L195" s="1" t="str">
        <f t="shared" si="11"/>
        <v/>
      </c>
    </row>
    <row r="196" spans="2:12" x14ac:dyDescent="0.35">
      <c r="B196" s="12"/>
      <c r="C196" s="11"/>
      <c r="D196" s="11"/>
      <c r="E196" s="11"/>
      <c r="F196" s="1" t="str">
        <f t="shared" si="8"/>
        <v/>
      </c>
      <c r="G196" s="1" t="str">
        <f t="shared" si="9"/>
        <v/>
      </c>
      <c r="H196" s="1" t="str">
        <f t="shared" si="10"/>
        <v/>
      </c>
      <c r="I196" s="1" t="str">
        <f>IF($L196="","",INDEX(Ref_AccountRules,$L196,3))</f>
        <v/>
      </c>
      <c r="J196" s="1" t="str">
        <f>IF($L196="","",INDEX(Ref_AccountRules,$L196,4))</f>
        <v/>
      </c>
      <c r="K196" s="1" t="str">
        <f>IF($L196="","",INDEX(Ref_AccountRules,$L196,5))</f>
        <v/>
      </c>
      <c r="L196" s="1" t="str">
        <f t="shared" si="11"/>
        <v/>
      </c>
    </row>
    <row r="197" spans="2:12" x14ac:dyDescent="0.35">
      <c r="B197" s="12"/>
      <c r="C197" s="11"/>
      <c r="D197" s="11"/>
      <c r="E197" s="11"/>
      <c r="F197" s="1" t="str">
        <f t="shared" si="8"/>
        <v/>
      </c>
      <c r="G197" s="1" t="str">
        <f t="shared" si="9"/>
        <v/>
      </c>
      <c r="H197" s="1" t="str">
        <f t="shared" si="10"/>
        <v/>
      </c>
      <c r="I197" s="1" t="str">
        <f>IF($L197="","",INDEX(Ref_AccountRules,$L197,3))</f>
        <v/>
      </c>
      <c r="J197" s="1" t="str">
        <f>IF($L197="","",INDEX(Ref_AccountRules,$L197,4))</f>
        <v/>
      </c>
      <c r="K197" s="1" t="str">
        <f>IF($L197="","",INDEX(Ref_AccountRules,$L197,5))</f>
        <v/>
      </c>
      <c r="L197" s="1" t="str">
        <f t="shared" si="11"/>
        <v/>
      </c>
    </row>
    <row r="198" spans="2:12" x14ac:dyDescent="0.35">
      <c r="B198" s="12"/>
      <c r="C198" s="11"/>
      <c r="D198" s="11"/>
      <c r="E198" s="11"/>
      <c r="F198" s="1" t="str">
        <f t="shared" si="8"/>
        <v/>
      </c>
      <c r="G198" s="1" t="str">
        <f t="shared" si="9"/>
        <v/>
      </c>
      <c r="H198" s="1" t="str">
        <f t="shared" si="10"/>
        <v/>
      </c>
      <c r="I198" s="1" t="str">
        <f>IF($L198="","",INDEX(Ref_AccountRules,$L198,3))</f>
        <v/>
      </c>
      <c r="J198" s="1" t="str">
        <f>IF($L198="","",INDEX(Ref_AccountRules,$L198,4))</f>
        <v/>
      </c>
      <c r="K198" s="1" t="str">
        <f>IF($L198="","",INDEX(Ref_AccountRules,$L198,5))</f>
        <v/>
      </c>
      <c r="L198" s="1" t="str">
        <f t="shared" si="11"/>
        <v/>
      </c>
    </row>
    <row r="199" spans="2:12" x14ac:dyDescent="0.35">
      <c r="B199" s="12"/>
      <c r="C199" s="11"/>
      <c r="D199" s="11"/>
      <c r="E199" s="11"/>
      <c r="F199" s="1" t="str">
        <f t="shared" si="8"/>
        <v/>
      </c>
      <c r="G199" s="1" t="str">
        <f t="shared" si="9"/>
        <v/>
      </c>
      <c r="H199" s="1" t="str">
        <f t="shared" si="10"/>
        <v/>
      </c>
      <c r="I199" s="1" t="str">
        <f>IF($L199="","",INDEX(Ref_AccountRules,$L199,3))</f>
        <v/>
      </c>
      <c r="J199" s="1" t="str">
        <f>IF($L199="","",INDEX(Ref_AccountRules,$L199,4))</f>
        <v/>
      </c>
      <c r="K199" s="1" t="str">
        <f>IF($L199="","",INDEX(Ref_AccountRules,$L199,5))</f>
        <v/>
      </c>
      <c r="L199" s="1" t="str">
        <f t="shared" si="11"/>
        <v/>
      </c>
    </row>
    <row r="200" spans="2:12" x14ac:dyDescent="0.35">
      <c r="B200" s="12"/>
      <c r="C200" s="11"/>
      <c r="D200" s="11"/>
      <c r="E200" s="11"/>
      <c r="F200" s="1" t="str">
        <f t="shared" si="8"/>
        <v/>
      </c>
      <c r="G200" s="1" t="str">
        <f t="shared" si="9"/>
        <v/>
      </c>
      <c r="H200" s="1" t="str">
        <f t="shared" si="10"/>
        <v/>
      </c>
      <c r="I200" s="1" t="str">
        <f>IF($L200="","",INDEX(Ref_AccountRules,$L200,3))</f>
        <v/>
      </c>
      <c r="J200" s="1" t="str">
        <f>IF($L200="","",INDEX(Ref_AccountRules,$L200,4))</f>
        <v/>
      </c>
      <c r="K200" s="1" t="str">
        <f>IF($L200="","",INDEX(Ref_AccountRules,$L200,5))</f>
        <v/>
      </c>
      <c r="L200" s="1" t="str">
        <f t="shared" si="11"/>
        <v/>
      </c>
    </row>
    <row r="201" spans="2:12" x14ac:dyDescent="0.35">
      <c r="B201" s="12"/>
      <c r="C201" s="11"/>
      <c r="D201" s="11"/>
      <c r="E201" s="11"/>
      <c r="F201" s="1" t="str">
        <f t="shared" si="8"/>
        <v/>
      </c>
      <c r="G201" s="1" t="str">
        <f t="shared" si="9"/>
        <v/>
      </c>
      <c r="H201" s="1" t="str">
        <f t="shared" si="10"/>
        <v/>
      </c>
      <c r="I201" s="1" t="str">
        <f>IF($L201="","",INDEX(Ref_AccountRules,$L201,3))</f>
        <v/>
      </c>
      <c r="J201" s="1" t="str">
        <f>IF($L201="","",INDEX(Ref_AccountRules,$L201,4))</f>
        <v/>
      </c>
      <c r="K201" s="1" t="str">
        <f>IF($L201="","",INDEX(Ref_AccountRules,$L201,5))</f>
        <v/>
      </c>
      <c r="L201" s="1" t="str">
        <f t="shared" si="11"/>
        <v/>
      </c>
    </row>
    <row r="202" spans="2:12" x14ac:dyDescent="0.35">
      <c r="B202" s="12"/>
      <c r="C202" s="11"/>
      <c r="D202" s="11"/>
      <c r="E202" s="11"/>
      <c r="F202" s="1" t="str">
        <f t="shared" si="8"/>
        <v/>
      </c>
      <c r="G202" s="1" t="str">
        <f t="shared" si="9"/>
        <v/>
      </c>
      <c r="H202" s="1" t="str">
        <f t="shared" si="10"/>
        <v/>
      </c>
      <c r="I202" s="1" t="str">
        <f>IF($L202="","",INDEX(Ref_AccountRules,$L202,3))</f>
        <v/>
      </c>
      <c r="J202" s="1" t="str">
        <f>IF($L202="","",INDEX(Ref_AccountRules,$L202,4))</f>
        <v/>
      </c>
      <c r="K202" s="1" t="str">
        <f>IF($L202="","",INDEX(Ref_AccountRules,$L202,5))</f>
        <v/>
      </c>
      <c r="L202" s="1" t="str">
        <f t="shared" si="11"/>
        <v/>
      </c>
    </row>
    <row r="203" spans="2:12" x14ac:dyDescent="0.35">
      <c r="B203" s="12"/>
      <c r="C203" s="11"/>
      <c r="D203" s="11"/>
      <c r="E203" s="11"/>
      <c r="F203" s="1" t="str">
        <f t="shared" ref="F203:F266" si="12">IF($B203="","",E203-D203)</f>
        <v/>
      </c>
      <c r="G203" s="1" t="str">
        <f t="shared" ref="G203:G266" si="13">IF($B203="","",IF(D203=0,0,(E203-D203)/ABS(D203)*100))</f>
        <v/>
      </c>
      <c r="H203" s="1" t="str">
        <f t="shared" ref="H203:H266" si="14">IF($B203="","",IF(LEFT($B203,6)="606880","emballages",IF(LEFT($B203,4)="6068","emballages",IF(LEFT($B203,3)="606","energie_dechets",IF(LEFT($B203,3)="164","tresorerie_financement",IF(LEFT($B203,2)="20","immobilisations",IF(LEFT($B203,2)="21","immobilisations",IF(LEFT($B203,2)="22","immobilisations",IF(LEFT($B203,2)="23","immobilisations",IF(LEFT($B203,2)="28","immobilisations",IF(LEFT($B203,2)="40","fournisseurs",IF(LEFT($B203,2)="41","clients",IF(LEFT($B203,2)="32","stocks",IF(LEFT($B203,2)="60","charges",IF(LEFT($B203,2)="61","services",IF(LEFT($B203,2)="62","personnel",IF(LEFT($B203,2)="63","fiscal",IF(LEFT($B203,2)="64","financier","autres"))))))))))))))))))</f>
        <v/>
      </c>
      <c r="I203" s="1" t="str">
        <f>IF($L203="","",INDEX(Ref_AccountRules,$L203,3))</f>
        <v/>
      </c>
      <c r="J203" s="1" t="str">
        <f>IF($L203="","",INDEX(Ref_AccountRules,$L203,4))</f>
        <v/>
      </c>
      <c r="K203" s="1" t="str">
        <f>IF($L203="","",INDEX(Ref_AccountRules,$L203,5))</f>
        <v/>
      </c>
      <c r="L203" s="1" t="str">
        <f t="shared" ref="L203:L266" si="15">IF($B203="","",IF(LEFT($B203,3)="215",1,IF(LEFT($B203,4)="2183",2,IF(LEFT($B203,3)="401",3,IF(LEFT($B203,3)="411",4,IF(LEFT($B203,3)="322",5,IF(LEFT($B203,4)="3220",6,IF(LEFT($B203,5)="32200",7,IF(LEFT($B203,3)="625",8,IF(LEFT($B203,3)="606",9,IF(LEFT($B203,3)="164",10,IF(LEFT($B203,6)="606880",11,""))))))))))))</f>
        <v/>
      </c>
    </row>
    <row r="204" spans="2:12" x14ac:dyDescent="0.35">
      <c r="B204" s="12"/>
      <c r="C204" s="11"/>
      <c r="D204" s="11"/>
      <c r="E204" s="11"/>
      <c r="F204" s="1" t="str">
        <f t="shared" si="12"/>
        <v/>
      </c>
      <c r="G204" s="1" t="str">
        <f t="shared" si="13"/>
        <v/>
      </c>
      <c r="H204" s="1" t="str">
        <f t="shared" si="14"/>
        <v/>
      </c>
      <c r="I204" s="1" t="str">
        <f>IF($L204="","",INDEX(Ref_AccountRules,$L204,3))</f>
        <v/>
      </c>
      <c r="J204" s="1" t="str">
        <f>IF($L204="","",INDEX(Ref_AccountRules,$L204,4))</f>
        <v/>
      </c>
      <c r="K204" s="1" t="str">
        <f>IF($L204="","",INDEX(Ref_AccountRules,$L204,5))</f>
        <v/>
      </c>
      <c r="L204" s="1" t="str">
        <f t="shared" si="15"/>
        <v/>
      </c>
    </row>
    <row r="205" spans="2:12" x14ac:dyDescent="0.35">
      <c r="B205" s="12"/>
      <c r="C205" s="11"/>
      <c r="D205" s="11"/>
      <c r="E205" s="11"/>
      <c r="F205" s="1" t="str">
        <f t="shared" si="12"/>
        <v/>
      </c>
      <c r="G205" s="1" t="str">
        <f t="shared" si="13"/>
        <v/>
      </c>
      <c r="H205" s="1" t="str">
        <f t="shared" si="14"/>
        <v/>
      </c>
      <c r="I205" s="1" t="str">
        <f>IF($L205="","",INDEX(Ref_AccountRules,$L205,3))</f>
        <v/>
      </c>
      <c r="J205" s="1" t="str">
        <f>IF($L205="","",INDEX(Ref_AccountRules,$L205,4))</f>
        <v/>
      </c>
      <c r="K205" s="1" t="str">
        <f>IF($L205="","",INDEX(Ref_AccountRules,$L205,5))</f>
        <v/>
      </c>
      <c r="L205" s="1" t="str">
        <f t="shared" si="15"/>
        <v/>
      </c>
    </row>
    <row r="206" spans="2:12" x14ac:dyDescent="0.35">
      <c r="B206" s="12"/>
      <c r="C206" s="11"/>
      <c r="D206" s="11"/>
      <c r="E206" s="11"/>
      <c r="F206" s="1" t="str">
        <f t="shared" si="12"/>
        <v/>
      </c>
      <c r="G206" s="1" t="str">
        <f t="shared" si="13"/>
        <v/>
      </c>
      <c r="H206" s="1" t="str">
        <f t="shared" si="14"/>
        <v/>
      </c>
      <c r="I206" s="1" t="str">
        <f>IF($L206="","",INDEX(Ref_AccountRules,$L206,3))</f>
        <v/>
      </c>
      <c r="J206" s="1" t="str">
        <f>IF($L206="","",INDEX(Ref_AccountRules,$L206,4))</f>
        <v/>
      </c>
      <c r="K206" s="1" t="str">
        <f>IF($L206="","",INDEX(Ref_AccountRules,$L206,5))</f>
        <v/>
      </c>
      <c r="L206" s="1" t="str">
        <f t="shared" si="15"/>
        <v/>
      </c>
    </row>
    <row r="207" spans="2:12" x14ac:dyDescent="0.35">
      <c r="B207" s="12"/>
      <c r="C207" s="11"/>
      <c r="D207" s="11"/>
      <c r="E207" s="11"/>
      <c r="F207" s="1" t="str">
        <f t="shared" si="12"/>
        <v/>
      </c>
      <c r="G207" s="1" t="str">
        <f t="shared" si="13"/>
        <v/>
      </c>
      <c r="H207" s="1" t="str">
        <f t="shared" si="14"/>
        <v/>
      </c>
      <c r="I207" s="1" t="str">
        <f>IF($L207="","",INDEX(Ref_AccountRules,$L207,3))</f>
        <v/>
      </c>
      <c r="J207" s="1" t="str">
        <f>IF($L207="","",INDEX(Ref_AccountRules,$L207,4))</f>
        <v/>
      </c>
      <c r="K207" s="1" t="str">
        <f>IF($L207="","",INDEX(Ref_AccountRules,$L207,5))</f>
        <v/>
      </c>
      <c r="L207" s="1" t="str">
        <f t="shared" si="15"/>
        <v/>
      </c>
    </row>
    <row r="208" spans="2:12" x14ac:dyDescent="0.35">
      <c r="B208" s="12"/>
      <c r="C208" s="11"/>
      <c r="D208" s="11"/>
      <c r="E208" s="11"/>
      <c r="F208" s="1" t="str">
        <f t="shared" si="12"/>
        <v/>
      </c>
      <c r="G208" s="1" t="str">
        <f t="shared" si="13"/>
        <v/>
      </c>
      <c r="H208" s="1" t="str">
        <f t="shared" si="14"/>
        <v/>
      </c>
      <c r="I208" s="1" t="str">
        <f>IF($L208="","",INDEX(Ref_AccountRules,$L208,3))</f>
        <v/>
      </c>
      <c r="J208" s="1" t="str">
        <f>IF($L208="","",INDEX(Ref_AccountRules,$L208,4))</f>
        <v/>
      </c>
      <c r="K208" s="1" t="str">
        <f>IF($L208="","",INDEX(Ref_AccountRules,$L208,5))</f>
        <v/>
      </c>
      <c r="L208" s="1" t="str">
        <f t="shared" si="15"/>
        <v/>
      </c>
    </row>
    <row r="209" spans="2:12" x14ac:dyDescent="0.35">
      <c r="B209" s="12"/>
      <c r="C209" s="11"/>
      <c r="D209" s="11"/>
      <c r="E209" s="11"/>
      <c r="F209" s="1" t="str">
        <f t="shared" si="12"/>
        <v/>
      </c>
      <c r="G209" s="1" t="str">
        <f t="shared" si="13"/>
        <v/>
      </c>
      <c r="H209" s="1" t="str">
        <f t="shared" si="14"/>
        <v/>
      </c>
      <c r="I209" s="1" t="str">
        <f>IF($L209="","",INDEX(Ref_AccountRules,$L209,3))</f>
        <v/>
      </c>
      <c r="J209" s="1" t="str">
        <f>IF($L209="","",INDEX(Ref_AccountRules,$L209,4))</f>
        <v/>
      </c>
      <c r="K209" s="1" t="str">
        <f>IF($L209="","",INDEX(Ref_AccountRules,$L209,5))</f>
        <v/>
      </c>
      <c r="L209" s="1" t="str">
        <f t="shared" si="15"/>
        <v/>
      </c>
    </row>
    <row r="210" spans="2:12" x14ac:dyDescent="0.35">
      <c r="B210" s="12"/>
      <c r="C210" s="11"/>
      <c r="D210" s="11"/>
      <c r="E210" s="11"/>
      <c r="F210" s="1" t="str">
        <f t="shared" si="12"/>
        <v/>
      </c>
      <c r="G210" s="1" t="str">
        <f t="shared" si="13"/>
        <v/>
      </c>
      <c r="H210" s="1" t="str">
        <f t="shared" si="14"/>
        <v/>
      </c>
      <c r="I210" s="1" t="str">
        <f>IF($L210="","",INDEX(Ref_AccountRules,$L210,3))</f>
        <v/>
      </c>
      <c r="J210" s="1" t="str">
        <f>IF($L210="","",INDEX(Ref_AccountRules,$L210,4))</f>
        <v/>
      </c>
      <c r="K210" s="1" t="str">
        <f>IF($L210="","",INDEX(Ref_AccountRules,$L210,5))</f>
        <v/>
      </c>
      <c r="L210" s="1" t="str">
        <f t="shared" si="15"/>
        <v/>
      </c>
    </row>
    <row r="211" spans="2:12" x14ac:dyDescent="0.35">
      <c r="B211" s="12"/>
      <c r="C211" s="11"/>
      <c r="D211" s="11"/>
      <c r="E211" s="11"/>
      <c r="F211" s="1" t="str">
        <f t="shared" si="12"/>
        <v/>
      </c>
      <c r="G211" s="1" t="str">
        <f t="shared" si="13"/>
        <v/>
      </c>
      <c r="H211" s="1" t="str">
        <f t="shared" si="14"/>
        <v/>
      </c>
      <c r="I211" s="1" t="str">
        <f>IF($L211="","",INDEX(Ref_AccountRules,$L211,3))</f>
        <v/>
      </c>
      <c r="J211" s="1" t="str">
        <f>IF($L211="","",INDEX(Ref_AccountRules,$L211,4))</f>
        <v/>
      </c>
      <c r="K211" s="1" t="str">
        <f>IF($L211="","",INDEX(Ref_AccountRules,$L211,5))</f>
        <v/>
      </c>
      <c r="L211" s="1" t="str">
        <f t="shared" si="15"/>
        <v/>
      </c>
    </row>
    <row r="212" spans="2:12" x14ac:dyDescent="0.35">
      <c r="B212" s="12"/>
      <c r="C212" s="11"/>
      <c r="D212" s="11"/>
      <c r="E212" s="11"/>
      <c r="F212" s="1" t="str">
        <f t="shared" si="12"/>
        <v/>
      </c>
      <c r="G212" s="1" t="str">
        <f t="shared" si="13"/>
        <v/>
      </c>
      <c r="H212" s="1" t="str">
        <f t="shared" si="14"/>
        <v/>
      </c>
      <c r="I212" s="1" t="str">
        <f>IF($L212="","",INDEX(Ref_AccountRules,$L212,3))</f>
        <v/>
      </c>
      <c r="J212" s="1" t="str">
        <f>IF($L212="","",INDEX(Ref_AccountRules,$L212,4))</f>
        <v/>
      </c>
      <c r="K212" s="1" t="str">
        <f>IF($L212="","",INDEX(Ref_AccountRules,$L212,5))</f>
        <v/>
      </c>
      <c r="L212" s="1" t="str">
        <f t="shared" si="15"/>
        <v/>
      </c>
    </row>
    <row r="213" spans="2:12" x14ac:dyDescent="0.35">
      <c r="B213" s="12"/>
      <c r="C213" s="11"/>
      <c r="D213" s="11"/>
      <c r="E213" s="11"/>
      <c r="F213" s="1" t="str">
        <f t="shared" si="12"/>
        <v/>
      </c>
      <c r="G213" s="1" t="str">
        <f t="shared" si="13"/>
        <v/>
      </c>
      <c r="H213" s="1" t="str">
        <f t="shared" si="14"/>
        <v/>
      </c>
      <c r="I213" s="1" t="str">
        <f>IF($L213="","",INDEX(Ref_AccountRules,$L213,3))</f>
        <v/>
      </c>
      <c r="J213" s="1" t="str">
        <f>IF($L213="","",INDEX(Ref_AccountRules,$L213,4))</f>
        <v/>
      </c>
      <c r="K213" s="1" t="str">
        <f>IF($L213="","",INDEX(Ref_AccountRules,$L213,5))</f>
        <v/>
      </c>
      <c r="L213" s="1" t="str">
        <f t="shared" si="15"/>
        <v/>
      </c>
    </row>
    <row r="214" spans="2:12" x14ac:dyDescent="0.35">
      <c r="B214" s="12"/>
      <c r="C214" s="11"/>
      <c r="D214" s="11"/>
      <c r="E214" s="11"/>
      <c r="F214" s="1" t="str">
        <f t="shared" si="12"/>
        <v/>
      </c>
      <c r="G214" s="1" t="str">
        <f t="shared" si="13"/>
        <v/>
      </c>
      <c r="H214" s="1" t="str">
        <f t="shared" si="14"/>
        <v/>
      </c>
      <c r="I214" s="1" t="str">
        <f>IF($L214="","",INDEX(Ref_AccountRules,$L214,3))</f>
        <v/>
      </c>
      <c r="J214" s="1" t="str">
        <f>IF($L214="","",INDEX(Ref_AccountRules,$L214,4))</f>
        <v/>
      </c>
      <c r="K214" s="1" t="str">
        <f>IF($L214="","",INDEX(Ref_AccountRules,$L214,5))</f>
        <v/>
      </c>
      <c r="L214" s="1" t="str">
        <f t="shared" si="15"/>
        <v/>
      </c>
    </row>
    <row r="215" spans="2:12" x14ac:dyDescent="0.35">
      <c r="B215" s="12"/>
      <c r="C215" s="11"/>
      <c r="D215" s="11"/>
      <c r="E215" s="11"/>
      <c r="F215" s="1" t="str">
        <f t="shared" si="12"/>
        <v/>
      </c>
      <c r="G215" s="1" t="str">
        <f t="shared" si="13"/>
        <v/>
      </c>
      <c r="H215" s="1" t="str">
        <f t="shared" si="14"/>
        <v/>
      </c>
      <c r="I215" s="1" t="str">
        <f>IF($L215="","",INDEX(Ref_AccountRules,$L215,3))</f>
        <v/>
      </c>
      <c r="J215" s="1" t="str">
        <f>IF($L215="","",INDEX(Ref_AccountRules,$L215,4))</f>
        <v/>
      </c>
      <c r="K215" s="1" t="str">
        <f>IF($L215="","",INDEX(Ref_AccountRules,$L215,5))</f>
        <v/>
      </c>
      <c r="L215" s="1" t="str">
        <f t="shared" si="15"/>
        <v/>
      </c>
    </row>
    <row r="216" spans="2:12" x14ac:dyDescent="0.35">
      <c r="B216" s="12"/>
      <c r="C216" s="11"/>
      <c r="D216" s="11"/>
      <c r="E216" s="11"/>
      <c r="F216" s="1" t="str">
        <f t="shared" si="12"/>
        <v/>
      </c>
      <c r="G216" s="1" t="str">
        <f t="shared" si="13"/>
        <v/>
      </c>
      <c r="H216" s="1" t="str">
        <f t="shared" si="14"/>
        <v/>
      </c>
      <c r="I216" s="1" t="str">
        <f>IF($L216="","",INDEX(Ref_AccountRules,$L216,3))</f>
        <v/>
      </c>
      <c r="J216" s="1" t="str">
        <f>IF($L216="","",INDEX(Ref_AccountRules,$L216,4))</f>
        <v/>
      </c>
      <c r="K216" s="1" t="str">
        <f>IF($L216="","",INDEX(Ref_AccountRules,$L216,5))</f>
        <v/>
      </c>
      <c r="L216" s="1" t="str">
        <f t="shared" si="15"/>
        <v/>
      </c>
    </row>
    <row r="217" spans="2:12" x14ac:dyDescent="0.35">
      <c r="B217" s="12"/>
      <c r="C217" s="11"/>
      <c r="D217" s="11"/>
      <c r="E217" s="11"/>
      <c r="F217" s="1" t="str">
        <f t="shared" si="12"/>
        <v/>
      </c>
      <c r="G217" s="1" t="str">
        <f t="shared" si="13"/>
        <v/>
      </c>
      <c r="H217" s="1" t="str">
        <f t="shared" si="14"/>
        <v/>
      </c>
      <c r="I217" s="1" t="str">
        <f>IF($L217="","",INDEX(Ref_AccountRules,$L217,3))</f>
        <v/>
      </c>
      <c r="J217" s="1" t="str">
        <f>IF($L217="","",INDEX(Ref_AccountRules,$L217,4))</f>
        <v/>
      </c>
      <c r="K217" s="1" t="str">
        <f>IF($L217="","",INDEX(Ref_AccountRules,$L217,5))</f>
        <v/>
      </c>
      <c r="L217" s="1" t="str">
        <f t="shared" si="15"/>
        <v/>
      </c>
    </row>
    <row r="218" spans="2:12" x14ac:dyDescent="0.35">
      <c r="B218" s="12"/>
      <c r="C218" s="11"/>
      <c r="D218" s="11"/>
      <c r="E218" s="11"/>
      <c r="F218" s="1" t="str">
        <f t="shared" si="12"/>
        <v/>
      </c>
      <c r="G218" s="1" t="str">
        <f t="shared" si="13"/>
        <v/>
      </c>
      <c r="H218" s="1" t="str">
        <f t="shared" si="14"/>
        <v/>
      </c>
      <c r="I218" s="1" t="str">
        <f>IF($L218="","",INDEX(Ref_AccountRules,$L218,3))</f>
        <v/>
      </c>
      <c r="J218" s="1" t="str">
        <f>IF($L218="","",INDEX(Ref_AccountRules,$L218,4))</f>
        <v/>
      </c>
      <c r="K218" s="1" t="str">
        <f>IF($L218="","",INDEX(Ref_AccountRules,$L218,5))</f>
        <v/>
      </c>
      <c r="L218" s="1" t="str">
        <f t="shared" si="15"/>
        <v/>
      </c>
    </row>
    <row r="219" spans="2:12" x14ac:dyDescent="0.35">
      <c r="B219" s="12"/>
      <c r="C219" s="11"/>
      <c r="D219" s="11"/>
      <c r="E219" s="11"/>
      <c r="F219" s="1" t="str">
        <f t="shared" si="12"/>
        <v/>
      </c>
      <c r="G219" s="1" t="str">
        <f t="shared" si="13"/>
        <v/>
      </c>
      <c r="H219" s="1" t="str">
        <f t="shared" si="14"/>
        <v/>
      </c>
      <c r="I219" s="1" t="str">
        <f>IF($L219="","",INDEX(Ref_AccountRules,$L219,3))</f>
        <v/>
      </c>
      <c r="J219" s="1" t="str">
        <f>IF($L219="","",INDEX(Ref_AccountRules,$L219,4))</f>
        <v/>
      </c>
      <c r="K219" s="1" t="str">
        <f>IF($L219="","",INDEX(Ref_AccountRules,$L219,5))</f>
        <v/>
      </c>
      <c r="L219" s="1" t="str">
        <f t="shared" si="15"/>
        <v/>
      </c>
    </row>
    <row r="220" spans="2:12" x14ac:dyDescent="0.35">
      <c r="B220" s="12"/>
      <c r="C220" s="11"/>
      <c r="D220" s="11"/>
      <c r="E220" s="11"/>
      <c r="F220" s="1" t="str">
        <f t="shared" si="12"/>
        <v/>
      </c>
      <c r="G220" s="1" t="str">
        <f t="shared" si="13"/>
        <v/>
      </c>
      <c r="H220" s="1" t="str">
        <f t="shared" si="14"/>
        <v/>
      </c>
      <c r="I220" s="1" t="str">
        <f>IF($L220="","",INDEX(Ref_AccountRules,$L220,3))</f>
        <v/>
      </c>
      <c r="J220" s="1" t="str">
        <f>IF($L220="","",INDEX(Ref_AccountRules,$L220,4))</f>
        <v/>
      </c>
      <c r="K220" s="1" t="str">
        <f>IF($L220="","",INDEX(Ref_AccountRules,$L220,5))</f>
        <v/>
      </c>
      <c r="L220" s="1" t="str">
        <f t="shared" si="15"/>
        <v/>
      </c>
    </row>
    <row r="221" spans="2:12" x14ac:dyDescent="0.35">
      <c r="B221" s="12"/>
      <c r="C221" s="11"/>
      <c r="D221" s="11"/>
      <c r="E221" s="11"/>
      <c r="F221" s="1" t="str">
        <f t="shared" si="12"/>
        <v/>
      </c>
      <c r="G221" s="1" t="str">
        <f t="shared" si="13"/>
        <v/>
      </c>
      <c r="H221" s="1" t="str">
        <f t="shared" si="14"/>
        <v/>
      </c>
      <c r="I221" s="1" t="str">
        <f>IF($L221="","",INDEX(Ref_AccountRules,$L221,3))</f>
        <v/>
      </c>
      <c r="J221" s="1" t="str">
        <f>IF($L221="","",INDEX(Ref_AccountRules,$L221,4))</f>
        <v/>
      </c>
      <c r="K221" s="1" t="str">
        <f>IF($L221="","",INDEX(Ref_AccountRules,$L221,5))</f>
        <v/>
      </c>
      <c r="L221" s="1" t="str">
        <f t="shared" si="15"/>
        <v/>
      </c>
    </row>
    <row r="222" spans="2:12" x14ac:dyDescent="0.35">
      <c r="B222" s="12"/>
      <c r="C222" s="11"/>
      <c r="D222" s="11"/>
      <c r="E222" s="11"/>
      <c r="F222" s="1" t="str">
        <f t="shared" si="12"/>
        <v/>
      </c>
      <c r="G222" s="1" t="str">
        <f t="shared" si="13"/>
        <v/>
      </c>
      <c r="H222" s="1" t="str">
        <f t="shared" si="14"/>
        <v/>
      </c>
      <c r="I222" s="1" t="str">
        <f>IF($L222="","",INDEX(Ref_AccountRules,$L222,3))</f>
        <v/>
      </c>
      <c r="J222" s="1" t="str">
        <f>IF($L222="","",INDEX(Ref_AccountRules,$L222,4))</f>
        <v/>
      </c>
      <c r="K222" s="1" t="str">
        <f>IF($L222="","",INDEX(Ref_AccountRules,$L222,5))</f>
        <v/>
      </c>
      <c r="L222" s="1" t="str">
        <f t="shared" si="15"/>
        <v/>
      </c>
    </row>
    <row r="223" spans="2:12" x14ac:dyDescent="0.35">
      <c r="B223" s="12"/>
      <c r="C223" s="11"/>
      <c r="D223" s="11"/>
      <c r="E223" s="11"/>
      <c r="F223" s="1" t="str">
        <f t="shared" si="12"/>
        <v/>
      </c>
      <c r="G223" s="1" t="str">
        <f t="shared" si="13"/>
        <v/>
      </c>
      <c r="H223" s="1" t="str">
        <f t="shared" si="14"/>
        <v/>
      </c>
      <c r="I223" s="1" t="str">
        <f>IF($L223="","",INDEX(Ref_AccountRules,$L223,3))</f>
        <v/>
      </c>
      <c r="J223" s="1" t="str">
        <f>IF($L223="","",INDEX(Ref_AccountRules,$L223,4))</f>
        <v/>
      </c>
      <c r="K223" s="1" t="str">
        <f>IF($L223="","",INDEX(Ref_AccountRules,$L223,5))</f>
        <v/>
      </c>
      <c r="L223" s="1" t="str">
        <f t="shared" si="15"/>
        <v/>
      </c>
    </row>
    <row r="224" spans="2:12" x14ac:dyDescent="0.35">
      <c r="B224" s="12"/>
      <c r="C224" s="11"/>
      <c r="D224" s="11"/>
      <c r="E224" s="11"/>
      <c r="F224" s="1" t="str">
        <f t="shared" si="12"/>
        <v/>
      </c>
      <c r="G224" s="1" t="str">
        <f t="shared" si="13"/>
        <v/>
      </c>
      <c r="H224" s="1" t="str">
        <f t="shared" si="14"/>
        <v/>
      </c>
      <c r="I224" s="1" t="str">
        <f>IF($L224="","",INDEX(Ref_AccountRules,$L224,3))</f>
        <v/>
      </c>
      <c r="J224" s="1" t="str">
        <f>IF($L224="","",INDEX(Ref_AccountRules,$L224,4))</f>
        <v/>
      </c>
      <c r="K224" s="1" t="str">
        <f>IF($L224="","",INDEX(Ref_AccountRules,$L224,5))</f>
        <v/>
      </c>
      <c r="L224" s="1" t="str">
        <f t="shared" si="15"/>
        <v/>
      </c>
    </row>
    <row r="225" spans="2:12" x14ac:dyDescent="0.35">
      <c r="B225" s="12"/>
      <c r="C225" s="11"/>
      <c r="D225" s="11"/>
      <c r="E225" s="11"/>
      <c r="F225" s="1" t="str">
        <f t="shared" si="12"/>
        <v/>
      </c>
      <c r="G225" s="1" t="str">
        <f t="shared" si="13"/>
        <v/>
      </c>
      <c r="H225" s="1" t="str">
        <f t="shared" si="14"/>
        <v/>
      </c>
      <c r="I225" s="1" t="str">
        <f>IF($L225="","",INDEX(Ref_AccountRules,$L225,3))</f>
        <v/>
      </c>
      <c r="J225" s="1" t="str">
        <f>IF($L225="","",INDEX(Ref_AccountRules,$L225,4))</f>
        <v/>
      </c>
      <c r="K225" s="1" t="str">
        <f>IF($L225="","",INDEX(Ref_AccountRules,$L225,5))</f>
        <v/>
      </c>
      <c r="L225" s="1" t="str">
        <f t="shared" si="15"/>
        <v/>
      </c>
    </row>
    <row r="226" spans="2:12" x14ac:dyDescent="0.35">
      <c r="B226" s="12"/>
      <c r="C226" s="11"/>
      <c r="D226" s="11"/>
      <c r="E226" s="11"/>
      <c r="F226" s="1" t="str">
        <f t="shared" si="12"/>
        <v/>
      </c>
      <c r="G226" s="1" t="str">
        <f t="shared" si="13"/>
        <v/>
      </c>
      <c r="H226" s="1" t="str">
        <f t="shared" si="14"/>
        <v/>
      </c>
      <c r="I226" s="1" t="str">
        <f>IF($L226="","",INDEX(Ref_AccountRules,$L226,3))</f>
        <v/>
      </c>
      <c r="J226" s="1" t="str">
        <f>IF($L226="","",INDEX(Ref_AccountRules,$L226,4))</f>
        <v/>
      </c>
      <c r="K226" s="1" t="str">
        <f>IF($L226="","",INDEX(Ref_AccountRules,$L226,5))</f>
        <v/>
      </c>
      <c r="L226" s="1" t="str">
        <f t="shared" si="15"/>
        <v/>
      </c>
    </row>
    <row r="227" spans="2:12" x14ac:dyDescent="0.35">
      <c r="B227" s="12"/>
      <c r="C227" s="11"/>
      <c r="D227" s="11"/>
      <c r="E227" s="11"/>
      <c r="F227" s="1" t="str">
        <f t="shared" si="12"/>
        <v/>
      </c>
      <c r="G227" s="1" t="str">
        <f t="shared" si="13"/>
        <v/>
      </c>
      <c r="H227" s="1" t="str">
        <f t="shared" si="14"/>
        <v/>
      </c>
      <c r="I227" s="1" t="str">
        <f>IF($L227="","",INDEX(Ref_AccountRules,$L227,3))</f>
        <v/>
      </c>
      <c r="J227" s="1" t="str">
        <f>IF($L227="","",INDEX(Ref_AccountRules,$L227,4))</f>
        <v/>
      </c>
      <c r="K227" s="1" t="str">
        <f>IF($L227="","",INDEX(Ref_AccountRules,$L227,5))</f>
        <v/>
      </c>
      <c r="L227" s="1" t="str">
        <f t="shared" si="15"/>
        <v/>
      </c>
    </row>
    <row r="228" spans="2:12" x14ac:dyDescent="0.35">
      <c r="B228" s="12"/>
      <c r="C228" s="11"/>
      <c r="D228" s="11"/>
      <c r="E228" s="11"/>
      <c r="F228" s="1" t="str">
        <f t="shared" si="12"/>
        <v/>
      </c>
      <c r="G228" s="1" t="str">
        <f t="shared" si="13"/>
        <v/>
      </c>
      <c r="H228" s="1" t="str">
        <f t="shared" si="14"/>
        <v/>
      </c>
      <c r="I228" s="1" t="str">
        <f>IF($L228="","",INDEX(Ref_AccountRules,$L228,3))</f>
        <v/>
      </c>
      <c r="J228" s="1" t="str">
        <f>IF($L228="","",INDEX(Ref_AccountRules,$L228,4))</f>
        <v/>
      </c>
      <c r="K228" s="1" t="str">
        <f>IF($L228="","",INDEX(Ref_AccountRules,$L228,5))</f>
        <v/>
      </c>
      <c r="L228" s="1" t="str">
        <f t="shared" si="15"/>
        <v/>
      </c>
    </row>
    <row r="229" spans="2:12" x14ac:dyDescent="0.35">
      <c r="B229" s="12"/>
      <c r="C229" s="11"/>
      <c r="D229" s="11"/>
      <c r="E229" s="11"/>
      <c r="F229" s="1" t="str">
        <f t="shared" si="12"/>
        <v/>
      </c>
      <c r="G229" s="1" t="str">
        <f t="shared" si="13"/>
        <v/>
      </c>
      <c r="H229" s="1" t="str">
        <f t="shared" si="14"/>
        <v/>
      </c>
      <c r="I229" s="1" t="str">
        <f>IF($L229="","",INDEX(Ref_AccountRules,$L229,3))</f>
        <v/>
      </c>
      <c r="J229" s="1" t="str">
        <f>IF($L229="","",INDEX(Ref_AccountRules,$L229,4))</f>
        <v/>
      </c>
      <c r="K229" s="1" t="str">
        <f>IF($L229="","",INDEX(Ref_AccountRules,$L229,5))</f>
        <v/>
      </c>
      <c r="L229" s="1" t="str">
        <f t="shared" si="15"/>
        <v/>
      </c>
    </row>
    <row r="230" spans="2:12" x14ac:dyDescent="0.35">
      <c r="B230" s="12"/>
      <c r="C230" s="11"/>
      <c r="D230" s="11"/>
      <c r="E230" s="11"/>
      <c r="F230" s="1" t="str">
        <f t="shared" si="12"/>
        <v/>
      </c>
      <c r="G230" s="1" t="str">
        <f t="shared" si="13"/>
        <v/>
      </c>
      <c r="H230" s="1" t="str">
        <f t="shared" si="14"/>
        <v/>
      </c>
      <c r="I230" s="1" t="str">
        <f>IF($L230="","",INDEX(Ref_AccountRules,$L230,3))</f>
        <v/>
      </c>
      <c r="J230" s="1" t="str">
        <f>IF($L230="","",INDEX(Ref_AccountRules,$L230,4))</f>
        <v/>
      </c>
      <c r="K230" s="1" t="str">
        <f>IF($L230="","",INDEX(Ref_AccountRules,$L230,5))</f>
        <v/>
      </c>
      <c r="L230" s="1" t="str">
        <f t="shared" si="15"/>
        <v/>
      </c>
    </row>
    <row r="231" spans="2:12" x14ac:dyDescent="0.35">
      <c r="B231" s="12"/>
      <c r="C231" s="11"/>
      <c r="D231" s="11"/>
      <c r="E231" s="11"/>
      <c r="F231" s="1" t="str">
        <f t="shared" si="12"/>
        <v/>
      </c>
      <c r="G231" s="1" t="str">
        <f t="shared" si="13"/>
        <v/>
      </c>
      <c r="H231" s="1" t="str">
        <f t="shared" si="14"/>
        <v/>
      </c>
      <c r="I231" s="1" t="str">
        <f>IF($L231="","",INDEX(Ref_AccountRules,$L231,3))</f>
        <v/>
      </c>
      <c r="J231" s="1" t="str">
        <f>IF($L231="","",INDEX(Ref_AccountRules,$L231,4))</f>
        <v/>
      </c>
      <c r="K231" s="1" t="str">
        <f>IF($L231="","",INDEX(Ref_AccountRules,$L231,5))</f>
        <v/>
      </c>
      <c r="L231" s="1" t="str">
        <f t="shared" si="15"/>
        <v/>
      </c>
    </row>
    <row r="232" spans="2:12" x14ac:dyDescent="0.35">
      <c r="B232" s="12"/>
      <c r="C232" s="11"/>
      <c r="D232" s="11"/>
      <c r="E232" s="11"/>
      <c r="F232" s="1" t="str">
        <f t="shared" si="12"/>
        <v/>
      </c>
      <c r="G232" s="1" t="str">
        <f t="shared" si="13"/>
        <v/>
      </c>
      <c r="H232" s="1" t="str">
        <f t="shared" si="14"/>
        <v/>
      </c>
      <c r="I232" s="1" t="str">
        <f>IF($L232="","",INDEX(Ref_AccountRules,$L232,3))</f>
        <v/>
      </c>
      <c r="J232" s="1" t="str">
        <f>IF($L232="","",INDEX(Ref_AccountRules,$L232,4))</f>
        <v/>
      </c>
      <c r="K232" s="1" t="str">
        <f>IF($L232="","",INDEX(Ref_AccountRules,$L232,5))</f>
        <v/>
      </c>
      <c r="L232" s="1" t="str">
        <f t="shared" si="15"/>
        <v/>
      </c>
    </row>
    <row r="233" spans="2:12" x14ac:dyDescent="0.35">
      <c r="B233" s="12"/>
      <c r="C233" s="11"/>
      <c r="D233" s="11"/>
      <c r="E233" s="11"/>
      <c r="F233" s="1" t="str">
        <f t="shared" si="12"/>
        <v/>
      </c>
      <c r="G233" s="1" t="str">
        <f t="shared" si="13"/>
        <v/>
      </c>
      <c r="H233" s="1" t="str">
        <f t="shared" si="14"/>
        <v/>
      </c>
      <c r="I233" s="1" t="str">
        <f>IF($L233="","",INDEX(Ref_AccountRules,$L233,3))</f>
        <v/>
      </c>
      <c r="J233" s="1" t="str">
        <f>IF($L233="","",INDEX(Ref_AccountRules,$L233,4))</f>
        <v/>
      </c>
      <c r="K233" s="1" t="str">
        <f>IF($L233="","",INDEX(Ref_AccountRules,$L233,5))</f>
        <v/>
      </c>
      <c r="L233" s="1" t="str">
        <f t="shared" si="15"/>
        <v/>
      </c>
    </row>
    <row r="234" spans="2:12" x14ac:dyDescent="0.35">
      <c r="B234" s="12"/>
      <c r="C234" s="11"/>
      <c r="D234" s="11"/>
      <c r="E234" s="11"/>
      <c r="F234" s="1" t="str">
        <f t="shared" si="12"/>
        <v/>
      </c>
      <c r="G234" s="1" t="str">
        <f t="shared" si="13"/>
        <v/>
      </c>
      <c r="H234" s="1" t="str">
        <f t="shared" si="14"/>
        <v/>
      </c>
      <c r="I234" s="1" t="str">
        <f>IF($L234="","",INDEX(Ref_AccountRules,$L234,3))</f>
        <v/>
      </c>
      <c r="J234" s="1" t="str">
        <f>IF($L234="","",INDEX(Ref_AccountRules,$L234,4))</f>
        <v/>
      </c>
      <c r="K234" s="1" t="str">
        <f>IF($L234="","",INDEX(Ref_AccountRules,$L234,5))</f>
        <v/>
      </c>
      <c r="L234" s="1" t="str">
        <f t="shared" si="15"/>
        <v/>
      </c>
    </row>
    <row r="235" spans="2:12" x14ac:dyDescent="0.35">
      <c r="B235" s="12"/>
      <c r="C235" s="11"/>
      <c r="D235" s="11"/>
      <c r="E235" s="11"/>
      <c r="F235" s="1" t="str">
        <f t="shared" si="12"/>
        <v/>
      </c>
      <c r="G235" s="1" t="str">
        <f t="shared" si="13"/>
        <v/>
      </c>
      <c r="H235" s="1" t="str">
        <f t="shared" si="14"/>
        <v/>
      </c>
      <c r="I235" s="1" t="str">
        <f>IF($L235="","",INDEX(Ref_AccountRules,$L235,3))</f>
        <v/>
      </c>
      <c r="J235" s="1" t="str">
        <f>IF($L235="","",INDEX(Ref_AccountRules,$L235,4))</f>
        <v/>
      </c>
      <c r="K235" s="1" t="str">
        <f>IF($L235="","",INDEX(Ref_AccountRules,$L235,5))</f>
        <v/>
      </c>
      <c r="L235" s="1" t="str">
        <f t="shared" si="15"/>
        <v/>
      </c>
    </row>
    <row r="236" spans="2:12" x14ac:dyDescent="0.35">
      <c r="B236" s="12"/>
      <c r="C236" s="11"/>
      <c r="D236" s="11"/>
      <c r="E236" s="11"/>
      <c r="F236" s="1" t="str">
        <f t="shared" si="12"/>
        <v/>
      </c>
      <c r="G236" s="1" t="str">
        <f t="shared" si="13"/>
        <v/>
      </c>
      <c r="H236" s="1" t="str">
        <f t="shared" si="14"/>
        <v/>
      </c>
      <c r="I236" s="1" t="str">
        <f>IF($L236="","",INDEX(Ref_AccountRules,$L236,3))</f>
        <v/>
      </c>
      <c r="J236" s="1" t="str">
        <f>IF($L236="","",INDEX(Ref_AccountRules,$L236,4))</f>
        <v/>
      </c>
      <c r="K236" s="1" t="str">
        <f>IF($L236="","",INDEX(Ref_AccountRules,$L236,5))</f>
        <v/>
      </c>
      <c r="L236" s="1" t="str">
        <f t="shared" si="15"/>
        <v/>
      </c>
    </row>
    <row r="237" spans="2:12" x14ac:dyDescent="0.35">
      <c r="B237" s="12"/>
      <c r="C237" s="11"/>
      <c r="D237" s="11"/>
      <c r="E237" s="11"/>
      <c r="F237" s="1" t="str">
        <f t="shared" si="12"/>
        <v/>
      </c>
      <c r="G237" s="1" t="str">
        <f t="shared" si="13"/>
        <v/>
      </c>
      <c r="H237" s="1" t="str">
        <f t="shared" si="14"/>
        <v/>
      </c>
      <c r="I237" s="1" t="str">
        <f>IF($L237="","",INDEX(Ref_AccountRules,$L237,3))</f>
        <v/>
      </c>
      <c r="J237" s="1" t="str">
        <f>IF($L237="","",INDEX(Ref_AccountRules,$L237,4))</f>
        <v/>
      </c>
      <c r="K237" s="1" t="str">
        <f>IF($L237="","",INDEX(Ref_AccountRules,$L237,5))</f>
        <v/>
      </c>
      <c r="L237" s="1" t="str">
        <f t="shared" si="15"/>
        <v/>
      </c>
    </row>
    <row r="238" spans="2:12" x14ac:dyDescent="0.35">
      <c r="B238" s="12"/>
      <c r="C238" s="11"/>
      <c r="D238" s="11"/>
      <c r="E238" s="11"/>
      <c r="F238" s="1" t="str">
        <f t="shared" si="12"/>
        <v/>
      </c>
      <c r="G238" s="1" t="str">
        <f t="shared" si="13"/>
        <v/>
      </c>
      <c r="H238" s="1" t="str">
        <f t="shared" si="14"/>
        <v/>
      </c>
      <c r="I238" s="1" t="str">
        <f>IF($L238="","",INDEX(Ref_AccountRules,$L238,3))</f>
        <v/>
      </c>
      <c r="J238" s="1" t="str">
        <f>IF($L238="","",INDEX(Ref_AccountRules,$L238,4))</f>
        <v/>
      </c>
      <c r="K238" s="1" t="str">
        <f>IF($L238="","",INDEX(Ref_AccountRules,$L238,5))</f>
        <v/>
      </c>
      <c r="L238" s="1" t="str">
        <f t="shared" si="15"/>
        <v/>
      </c>
    </row>
    <row r="239" spans="2:12" x14ac:dyDescent="0.35">
      <c r="B239" s="12"/>
      <c r="C239" s="11"/>
      <c r="D239" s="11"/>
      <c r="E239" s="11"/>
      <c r="F239" s="1" t="str">
        <f t="shared" si="12"/>
        <v/>
      </c>
      <c r="G239" s="1" t="str">
        <f t="shared" si="13"/>
        <v/>
      </c>
      <c r="H239" s="1" t="str">
        <f t="shared" si="14"/>
        <v/>
      </c>
      <c r="I239" s="1" t="str">
        <f>IF($L239="","",INDEX(Ref_AccountRules,$L239,3))</f>
        <v/>
      </c>
      <c r="J239" s="1" t="str">
        <f>IF($L239="","",INDEX(Ref_AccountRules,$L239,4))</f>
        <v/>
      </c>
      <c r="K239" s="1" t="str">
        <f>IF($L239="","",INDEX(Ref_AccountRules,$L239,5))</f>
        <v/>
      </c>
      <c r="L239" s="1" t="str">
        <f t="shared" si="15"/>
        <v/>
      </c>
    </row>
    <row r="240" spans="2:12" x14ac:dyDescent="0.35">
      <c r="B240" s="12"/>
      <c r="C240" s="11"/>
      <c r="D240" s="11"/>
      <c r="E240" s="11"/>
      <c r="F240" s="1" t="str">
        <f t="shared" si="12"/>
        <v/>
      </c>
      <c r="G240" s="1" t="str">
        <f t="shared" si="13"/>
        <v/>
      </c>
      <c r="H240" s="1" t="str">
        <f t="shared" si="14"/>
        <v/>
      </c>
      <c r="I240" s="1" t="str">
        <f>IF($L240="","",INDEX(Ref_AccountRules,$L240,3))</f>
        <v/>
      </c>
      <c r="J240" s="1" t="str">
        <f>IF($L240="","",INDEX(Ref_AccountRules,$L240,4))</f>
        <v/>
      </c>
      <c r="K240" s="1" t="str">
        <f>IF($L240="","",INDEX(Ref_AccountRules,$L240,5))</f>
        <v/>
      </c>
      <c r="L240" s="1" t="str">
        <f t="shared" si="15"/>
        <v/>
      </c>
    </row>
    <row r="241" spans="2:12" x14ac:dyDescent="0.35">
      <c r="B241" s="12"/>
      <c r="C241" s="11"/>
      <c r="D241" s="11"/>
      <c r="E241" s="11"/>
      <c r="F241" s="1" t="str">
        <f t="shared" si="12"/>
        <v/>
      </c>
      <c r="G241" s="1" t="str">
        <f t="shared" si="13"/>
        <v/>
      </c>
      <c r="H241" s="1" t="str">
        <f t="shared" si="14"/>
        <v/>
      </c>
      <c r="I241" s="1" t="str">
        <f>IF($L241="","",INDEX(Ref_AccountRules,$L241,3))</f>
        <v/>
      </c>
      <c r="J241" s="1" t="str">
        <f>IF($L241="","",INDEX(Ref_AccountRules,$L241,4))</f>
        <v/>
      </c>
      <c r="K241" s="1" t="str">
        <f>IF($L241="","",INDEX(Ref_AccountRules,$L241,5))</f>
        <v/>
      </c>
      <c r="L241" s="1" t="str">
        <f t="shared" si="15"/>
        <v/>
      </c>
    </row>
    <row r="242" spans="2:12" x14ac:dyDescent="0.35">
      <c r="B242" s="12"/>
      <c r="C242" s="11"/>
      <c r="D242" s="11"/>
      <c r="E242" s="11"/>
      <c r="F242" s="1" t="str">
        <f t="shared" si="12"/>
        <v/>
      </c>
      <c r="G242" s="1" t="str">
        <f t="shared" si="13"/>
        <v/>
      </c>
      <c r="H242" s="1" t="str">
        <f t="shared" si="14"/>
        <v/>
      </c>
      <c r="I242" s="1" t="str">
        <f>IF($L242="","",INDEX(Ref_AccountRules,$L242,3))</f>
        <v/>
      </c>
      <c r="J242" s="1" t="str">
        <f>IF($L242="","",INDEX(Ref_AccountRules,$L242,4))</f>
        <v/>
      </c>
      <c r="K242" s="1" t="str">
        <f>IF($L242="","",INDEX(Ref_AccountRules,$L242,5))</f>
        <v/>
      </c>
      <c r="L242" s="1" t="str">
        <f t="shared" si="15"/>
        <v/>
      </c>
    </row>
    <row r="243" spans="2:12" x14ac:dyDescent="0.35">
      <c r="B243" s="12"/>
      <c r="C243" s="11"/>
      <c r="D243" s="11"/>
      <c r="E243" s="11"/>
      <c r="F243" s="1" t="str">
        <f t="shared" si="12"/>
        <v/>
      </c>
      <c r="G243" s="1" t="str">
        <f t="shared" si="13"/>
        <v/>
      </c>
      <c r="H243" s="1" t="str">
        <f t="shared" si="14"/>
        <v/>
      </c>
      <c r="I243" s="1" t="str">
        <f>IF($L243="","",INDEX(Ref_AccountRules,$L243,3))</f>
        <v/>
      </c>
      <c r="J243" s="1" t="str">
        <f>IF($L243="","",INDEX(Ref_AccountRules,$L243,4))</f>
        <v/>
      </c>
      <c r="K243" s="1" t="str">
        <f>IF($L243="","",INDEX(Ref_AccountRules,$L243,5))</f>
        <v/>
      </c>
      <c r="L243" s="1" t="str">
        <f t="shared" si="15"/>
        <v/>
      </c>
    </row>
    <row r="244" spans="2:12" x14ac:dyDescent="0.35">
      <c r="B244" s="12"/>
      <c r="C244" s="11"/>
      <c r="D244" s="11"/>
      <c r="E244" s="11"/>
      <c r="F244" s="1" t="str">
        <f t="shared" si="12"/>
        <v/>
      </c>
      <c r="G244" s="1" t="str">
        <f t="shared" si="13"/>
        <v/>
      </c>
      <c r="H244" s="1" t="str">
        <f t="shared" si="14"/>
        <v/>
      </c>
      <c r="I244" s="1" t="str">
        <f>IF($L244="","",INDEX(Ref_AccountRules,$L244,3))</f>
        <v/>
      </c>
      <c r="J244" s="1" t="str">
        <f>IF($L244="","",INDEX(Ref_AccountRules,$L244,4))</f>
        <v/>
      </c>
      <c r="K244" s="1" t="str">
        <f>IF($L244="","",INDEX(Ref_AccountRules,$L244,5))</f>
        <v/>
      </c>
      <c r="L244" s="1" t="str">
        <f t="shared" si="15"/>
        <v/>
      </c>
    </row>
    <row r="245" spans="2:12" x14ac:dyDescent="0.35">
      <c r="B245" s="12"/>
      <c r="C245" s="11"/>
      <c r="D245" s="11"/>
      <c r="E245" s="11"/>
      <c r="F245" s="1" t="str">
        <f t="shared" si="12"/>
        <v/>
      </c>
      <c r="G245" s="1" t="str">
        <f t="shared" si="13"/>
        <v/>
      </c>
      <c r="H245" s="1" t="str">
        <f t="shared" si="14"/>
        <v/>
      </c>
      <c r="I245" s="1" t="str">
        <f>IF($L245="","",INDEX(Ref_AccountRules,$L245,3))</f>
        <v/>
      </c>
      <c r="J245" s="1" t="str">
        <f>IF($L245="","",INDEX(Ref_AccountRules,$L245,4))</f>
        <v/>
      </c>
      <c r="K245" s="1" t="str">
        <f>IF($L245="","",INDEX(Ref_AccountRules,$L245,5))</f>
        <v/>
      </c>
      <c r="L245" s="1" t="str">
        <f t="shared" si="15"/>
        <v/>
      </c>
    </row>
    <row r="246" spans="2:12" x14ac:dyDescent="0.35">
      <c r="B246" s="12"/>
      <c r="C246" s="11"/>
      <c r="D246" s="11"/>
      <c r="E246" s="11"/>
      <c r="F246" s="1" t="str">
        <f t="shared" si="12"/>
        <v/>
      </c>
      <c r="G246" s="1" t="str">
        <f t="shared" si="13"/>
        <v/>
      </c>
      <c r="H246" s="1" t="str">
        <f t="shared" si="14"/>
        <v/>
      </c>
      <c r="I246" s="1" t="str">
        <f>IF($L246="","",INDEX(Ref_AccountRules,$L246,3))</f>
        <v/>
      </c>
      <c r="J246" s="1" t="str">
        <f>IF($L246="","",INDEX(Ref_AccountRules,$L246,4))</f>
        <v/>
      </c>
      <c r="K246" s="1" t="str">
        <f>IF($L246="","",INDEX(Ref_AccountRules,$L246,5))</f>
        <v/>
      </c>
      <c r="L246" s="1" t="str">
        <f t="shared" si="15"/>
        <v/>
      </c>
    </row>
    <row r="247" spans="2:12" x14ac:dyDescent="0.35">
      <c r="B247" s="12"/>
      <c r="C247" s="11"/>
      <c r="D247" s="11"/>
      <c r="E247" s="11"/>
      <c r="F247" s="1" t="str">
        <f t="shared" si="12"/>
        <v/>
      </c>
      <c r="G247" s="1" t="str">
        <f t="shared" si="13"/>
        <v/>
      </c>
      <c r="H247" s="1" t="str">
        <f t="shared" si="14"/>
        <v/>
      </c>
      <c r="I247" s="1" t="str">
        <f>IF($L247="","",INDEX(Ref_AccountRules,$L247,3))</f>
        <v/>
      </c>
      <c r="J247" s="1" t="str">
        <f>IF($L247="","",INDEX(Ref_AccountRules,$L247,4))</f>
        <v/>
      </c>
      <c r="K247" s="1" t="str">
        <f>IF($L247="","",INDEX(Ref_AccountRules,$L247,5))</f>
        <v/>
      </c>
      <c r="L247" s="1" t="str">
        <f t="shared" si="15"/>
        <v/>
      </c>
    </row>
    <row r="248" spans="2:12" x14ac:dyDescent="0.35">
      <c r="B248" s="12"/>
      <c r="C248" s="11"/>
      <c r="D248" s="11"/>
      <c r="E248" s="11"/>
      <c r="F248" s="1" t="str">
        <f t="shared" si="12"/>
        <v/>
      </c>
      <c r="G248" s="1" t="str">
        <f t="shared" si="13"/>
        <v/>
      </c>
      <c r="H248" s="1" t="str">
        <f t="shared" si="14"/>
        <v/>
      </c>
      <c r="I248" s="1" t="str">
        <f>IF($L248="","",INDEX(Ref_AccountRules,$L248,3))</f>
        <v/>
      </c>
      <c r="J248" s="1" t="str">
        <f>IF($L248="","",INDEX(Ref_AccountRules,$L248,4))</f>
        <v/>
      </c>
      <c r="K248" s="1" t="str">
        <f>IF($L248="","",INDEX(Ref_AccountRules,$L248,5))</f>
        <v/>
      </c>
      <c r="L248" s="1" t="str">
        <f t="shared" si="15"/>
        <v/>
      </c>
    </row>
    <row r="249" spans="2:12" x14ac:dyDescent="0.35">
      <c r="B249" s="12"/>
      <c r="C249" s="11"/>
      <c r="D249" s="11"/>
      <c r="E249" s="11"/>
      <c r="F249" s="1" t="str">
        <f t="shared" si="12"/>
        <v/>
      </c>
      <c r="G249" s="1" t="str">
        <f t="shared" si="13"/>
        <v/>
      </c>
      <c r="H249" s="1" t="str">
        <f t="shared" si="14"/>
        <v/>
      </c>
      <c r="I249" s="1" t="str">
        <f>IF($L249="","",INDEX(Ref_AccountRules,$L249,3))</f>
        <v/>
      </c>
      <c r="J249" s="1" t="str">
        <f>IF($L249="","",INDEX(Ref_AccountRules,$L249,4))</f>
        <v/>
      </c>
      <c r="K249" s="1" t="str">
        <f>IF($L249="","",INDEX(Ref_AccountRules,$L249,5))</f>
        <v/>
      </c>
      <c r="L249" s="1" t="str">
        <f t="shared" si="15"/>
        <v/>
      </c>
    </row>
    <row r="250" spans="2:12" x14ac:dyDescent="0.35">
      <c r="B250" s="12"/>
      <c r="C250" s="11"/>
      <c r="D250" s="11"/>
      <c r="E250" s="11"/>
      <c r="F250" s="1" t="str">
        <f t="shared" si="12"/>
        <v/>
      </c>
      <c r="G250" s="1" t="str">
        <f t="shared" si="13"/>
        <v/>
      </c>
      <c r="H250" s="1" t="str">
        <f t="shared" si="14"/>
        <v/>
      </c>
      <c r="I250" s="1" t="str">
        <f>IF($L250="","",INDEX(Ref_AccountRules,$L250,3))</f>
        <v/>
      </c>
      <c r="J250" s="1" t="str">
        <f>IF($L250="","",INDEX(Ref_AccountRules,$L250,4))</f>
        <v/>
      </c>
      <c r="K250" s="1" t="str">
        <f>IF($L250="","",INDEX(Ref_AccountRules,$L250,5))</f>
        <v/>
      </c>
      <c r="L250" s="1" t="str">
        <f t="shared" si="15"/>
        <v/>
      </c>
    </row>
    <row r="251" spans="2:12" x14ac:dyDescent="0.35">
      <c r="B251" s="12"/>
      <c r="C251" s="11"/>
      <c r="D251" s="11"/>
      <c r="E251" s="11"/>
      <c r="F251" s="1" t="str">
        <f t="shared" si="12"/>
        <v/>
      </c>
      <c r="G251" s="1" t="str">
        <f t="shared" si="13"/>
        <v/>
      </c>
      <c r="H251" s="1" t="str">
        <f t="shared" si="14"/>
        <v/>
      </c>
      <c r="I251" s="1" t="str">
        <f>IF($L251="","",INDEX(Ref_AccountRules,$L251,3))</f>
        <v/>
      </c>
      <c r="J251" s="1" t="str">
        <f>IF($L251="","",INDEX(Ref_AccountRules,$L251,4))</f>
        <v/>
      </c>
      <c r="K251" s="1" t="str">
        <f>IF($L251="","",INDEX(Ref_AccountRules,$L251,5))</f>
        <v/>
      </c>
      <c r="L251" s="1" t="str">
        <f t="shared" si="15"/>
        <v/>
      </c>
    </row>
    <row r="252" spans="2:12" x14ac:dyDescent="0.35">
      <c r="B252" s="12"/>
      <c r="C252" s="11"/>
      <c r="D252" s="11"/>
      <c r="E252" s="11"/>
      <c r="F252" s="1" t="str">
        <f t="shared" si="12"/>
        <v/>
      </c>
      <c r="G252" s="1" t="str">
        <f t="shared" si="13"/>
        <v/>
      </c>
      <c r="H252" s="1" t="str">
        <f t="shared" si="14"/>
        <v/>
      </c>
      <c r="I252" s="1" t="str">
        <f>IF($L252="","",INDEX(Ref_AccountRules,$L252,3))</f>
        <v/>
      </c>
      <c r="J252" s="1" t="str">
        <f>IF($L252="","",INDEX(Ref_AccountRules,$L252,4))</f>
        <v/>
      </c>
      <c r="K252" s="1" t="str">
        <f>IF($L252="","",INDEX(Ref_AccountRules,$L252,5))</f>
        <v/>
      </c>
      <c r="L252" s="1" t="str">
        <f t="shared" si="15"/>
        <v/>
      </c>
    </row>
    <row r="253" spans="2:12" x14ac:dyDescent="0.35">
      <c r="B253" s="12"/>
      <c r="C253" s="11"/>
      <c r="D253" s="11"/>
      <c r="E253" s="11"/>
      <c r="F253" s="1" t="str">
        <f t="shared" si="12"/>
        <v/>
      </c>
      <c r="G253" s="1" t="str">
        <f t="shared" si="13"/>
        <v/>
      </c>
      <c r="H253" s="1" t="str">
        <f t="shared" si="14"/>
        <v/>
      </c>
      <c r="I253" s="1" t="str">
        <f>IF($L253="","",INDEX(Ref_AccountRules,$L253,3))</f>
        <v/>
      </c>
      <c r="J253" s="1" t="str">
        <f>IF($L253="","",INDEX(Ref_AccountRules,$L253,4))</f>
        <v/>
      </c>
      <c r="K253" s="1" t="str">
        <f>IF($L253="","",INDEX(Ref_AccountRules,$L253,5))</f>
        <v/>
      </c>
      <c r="L253" s="1" t="str">
        <f t="shared" si="15"/>
        <v/>
      </c>
    </row>
    <row r="254" spans="2:12" x14ac:dyDescent="0.35">
      <c r="B254" s="12"/>
      <c r="C254" s="11"/>
      <c r="D254" s="11"/>
      <c r="E254" s="11"/>
      <c r="F254" s="1" t="str">
        <f t="shared" si="12"/>
        <v/>
      </c>
      <c r="G254" s="1" t="str">
        <f t="shared" si="13"/>
        <v/>
      </c>
      <c r="H254" s="1" t="str">
        <f t="shared" si="14"/>
        <v/>
      </c>
      <c r="I254" s="1" t="str">
        <f>IF($L254="","",INDEX(Ref_AccountRules,$L254,3))</f>
        <v/>
      </c>
      <c r="J254" s="1" t="str">
        <f>IF($L254="","",INDEX(Ref_AccountRules,$L254,4))</f>
        <v/>
      </c>
      <c r="K254" s="1" t="str">
        <f>IF($L254="","",INDEX(Ref_AccountRules,$L254,5))</f>
        <v/>
      </c>
      <c r="L254" s="1" t="str">
        <f t="shared" si="15"/>
        <v/>
      </c>
    </row>
    <row r="255" spans="2:12" x14ac:dyDescent="0.35">
      <c r="B255" s="12"/>
      <c r="C255" s="11"/>
      <c r="D255" s="11"/>
      <c r="E255" s="11"/>
      <c r="F255" s="1" t="str">
        <f t="shared" si="12"/>
        <v/>
      </c>
      <c r="G255" s="1" t="str">
        <f t="shared" si="13"/>
        <v/>
      </c>
      <c r="H255" s="1" t="str">
        <f t="shared" si="14"/>
        <v/>
      </c>
      <c r="I255" s="1" t="str">
        <f>IF($L255="","",INDEX(Ref_AccountRules,$L255,3))</f>
        <v/>
      </c>
      <c r="J255" s="1" t="str">
        <f>IF($L255="","",INDEX(Ref_AccountRules,$L255,4))</f>
        <v/>
      </c>
      <c r="K255" s="1" t="str">
        <f>IF($L255="","",INDEX(Ref_AccountRules,$L255,5))</f>
        <v/>
      </c>
      <c r="L255" s="1" t="str">
        <f t="shared" si="15"/>
        <v/>
      </c>
    </row>
    <row r="256" spans="2:12" x14ac:dyDescent="0.35">
      <c r="B256" s="12"/>
      <c r="C256" s="11"/>
      <c r="D256" s="11"/>
      <c r="E256" s="11"/>
      <c r="F256" s="1" t="str">
        <f t="shared" si="12"/>
        <v/>
      </c>
      <c r="G256" s="1" t="str">
        <f t="shared" si="13"/>
        <v/>
      </c>
      <c r="H256" s="1" t="str">
        <f t="shared" si="14"/>
        <v/>
      </c>
      <c r="I256" s="1" t="str">
        <f>IF($L256="","",INDEX(Ref_AccountRules,$L256,3))</f>
        <v/>
      </c>
      <c r="J256" s="1" t="str">
        <f>IF($L256="","",INDEX(Ref_AccountRules,$L256,4))</f>
        <v/>
      </c>
      <c r="K256" s="1" t="str">
        <f>IF($L256="","",INDEX(Ref_AccountRules,$L256,5))</f>
        <v/>
      </c>
      <c r="L256" s="1" t="str">
        <f t="shared" si="15"/>
        <v/>
      </c>
    </row>
    <row r="257" spans="2:12" x14ac:dyDescent="0.35">
      <c r="B257" s="12"/>
      <c r="C257" s="11"/>
      <c r="D257" s="11"/>
      <c r="E257" s="11"/>
      <c r="F257" s="1" t="str">
        <f t="shared" si="12"/>
        <v/>
      </c>
      <c r="G257" s="1" t="str">
        <f t="shared" si="13"/>
        <v/>
      </c>
      <c r="H257" s="1" t="str">
        <f t="shared" si="14"/>
        <v/>
      </c>
      <c r="I257" s="1" t="str">
        <f>IF($L257="","",INDEX(Ref_AccountRules,$L257,3))</f>
        <v/>
      </c>
      <c r="J257" s="1" t="str">
        <f>IF($L257="","",INDEX(Ref_AccountRules,$L257,4))</f>
        <v/>
      </c>
      <c r="K257" s="1" t="str">
        <f>IF($L257="","",INDEX(Ref_AccountRules,$L257,5))</f>
        <v/>
      </c>
      <c r="L257" s="1" t="str">
        <f t="shared" si="15"/>
        <v/>
      </c>
    </row>
    <row r="258" spans="2:12" x14ac:dyDescent="0.35">
      <c r="B258" s="12"/>
      <c r="C258" s="11"/>
      <c r="D258" s="11"/>
      <c r="E258" s="11"/>
      <c r="F258" s="1" t="str">
        <f t="shared" si="12"/>
        <v/>
      </c>
      <c r="G258" s="1" t="str">
        <f t="shared" si="13"/>
        <v/>
      </c>
      <c r="H258" s="1" t="str">
        <f t="shared" si="14"/>
        <v/>
      </c>
      <c r="I258" s="1" t="str">
        <f>IF($L258="","",INDEX(Ref_AccountRules,$L258,3))</f>
        <v/>
      </c>
      <c r="J258" s="1" t="str">
        <f>IF($L258="","",INDEX(Ref_AccountRules,$L258,4))</f>
        <v/>
      </c>
      <c r="K258" s="1" t="str">
        <f>IF($L258="","",INDEX(Ref_AccountRules,$L258,5))</f>
        <v/>
      </c>
      <c r="L258" s="1" t="str">
        <f t="shared" si="15"/>
        <v/>
      </c>
    </row>
    <row r="259" spans="2:12" x14ac:dyDescent="0.35">
      <c r="B259" s="12"/>
      <c r="C259" s="11"/>
      <c r="D259" s="11"/>
      <c r="E259" s="11"/>
      <c r="F259" s="1" t="str">
        <f t="shared" si="12"/>
        <v/>
      </c>
      <c r="G259" s="1" t="str">
        <f t="shared" si="13"/>
        <v/>
      </c>
      <c r="H259" s="1" t="str">
        <f t="shared" si="14"/>
        <v/>
      </c>
      <c r="I259" s="1" t="str">
        <f>IF($L259="","",INDEX(Ref_AccountRules,$L259,3))</f>
        <v/>
      </c>
      <c r="J259" s="1" t="str">
        <f>IF($L259="","",INDEX(Ref_AccountRules,$L259,4))</f>
        <v/>
      </c>
      <c r="K259" s="1" t="str">
        <f>IF($L259="","",INDEX(Ref_AccountRules,$L259,5))</f>
        <v/>
      </c>
      <c r="L259" s="1" t="str">
        <f t="shared" si="15"/>
        <v/>
      </c>
    </row>
    <row r="260" spans="2:12" x14ac:dyDescent="0.35">
      <c r="B260" s="12"/>
      <c r="C260" s="11"/>
      <c r="D260" s="11"/>
      <c r="E260" s="11"/>
      <c r="F260" s="1" t="str">
        <f t="shared" si="12"/>
        <v/>
      </c>
      <c r="G260" s="1" t="str">
        <f t="shared" si="13"/>
        <v/>
      </c>
      <c r="H260" s="1" t="str">
        <f t="shared" si="14"/>
        <v/>
      </c>
      <c r="I260" s="1" t="str">
        <f>IF($L260="","",INDEX(Ref_AccountRules,$L260,3))</f>
        <v/>
      </c>
      <c r="J260" s="1" t="str">
        <f>IF($L260="","",INDEX(Ref_AccountRules,$L260,4))</f>
        <v/>
      </c>
      <c r="K260" s="1" t="str">
        <f>IF($L260="","",INDEX(Ref_AccountRules,$L260,5))</f>
        <v/>
      </c>
      <c r="L260" s="1" t="str">
        <f t="shared" si="15"/>
        <v/>
      </c>
    </row>
    <row r="261" spans="2:12" x14ac:dyDescent="0.35">
      <c r="B261" s="12"/>
      <c r="C261" s="11"/>
      <c r="D261" s="11"/>
      <c r="E261" s="11"/>
      <c r="F261" s="1" t="str">
        <f t="shared" si="12"/>
        <v/>
      </c>
      <c r="G261" s="1" t="str">
        <f t="shared" si="13"/>
        <v/>
      </c>
      <c r="H261" s="1" t="str">
        <f t="shared" si="14"/>
        <v/>
      </c>
      <c r="I261" s="1" t="str">
        <f>IF($L261="","",INDEX(Ref_AccountRules,$L261,3))</f>
        <v/>
      </c>
      <c r="J261" s="1" t="str">
        <f>IF($L261="","",INDEX(Ref_AccountRules,$L261,4))</f>
        <v/>
      </c>
      <c r="K261" s="1" t="str">
        <f>IF($L261="","",INDEX(Ref_AccountRules,$L261,5))</f>
        <v/>
      </c>
      <c r="L261" s="1" t="str">
        <f t="shared" si="15"/>
        <v/>
      </c>
    </row>
    <row r="262" spans="2:12" x14ac:dyDescent="0.35">
      <c r="B262" s="12"/>
      <c r="C262" s="11"/>
      <c r="D262" s="11"/>
      <c r="E262" s="11"/>
      <c r="F262" s="1" t="str">
        <f t="shared" si="12"/>
        <v/>
      </c>
      <c r="G262" s="1" t="str">
        <f t="shared" si="13"/>
        <v/>
      </c>
      <c r="H262" s="1" t="str">
        <f t="shared" si="14"/>
        <v/>
      </c>
      <c r="I262" s="1" t="str">
        <f>IF($L262="","",INDEX(Ref_AccountRules,$L262,3))</f>
        <v/>
      </c>
      <c r="J262" s="1" t="str">
        <f>IF($L262="","",INDEX(Ref_AccountRules,$L262,4))</f>
        <v/>
      </c>
      <c r="K262" s="1" t="str">
        <f>IF($L262="","",INDEX(Ref_AccountRules,$L262,5))</f>
        <v/>
      </c>
      <c r="L262" s="1" t="str">
        <f t="shared" si="15"/>
        <v/>
      </c>
    </row>
    <row r="263" spans="2:12" x14ac:dyDescent="0.35">
      <c r="B263" s="12"/>
      <c r="C263" s="11"/>
      <c r="D263" s="11"/>
      <c r="E263" s="11"/>
      <c r="F263" s="1" t="str">
        <f t="shared" si="12"/>
        <v/>
      </c>
      <c r="G263" s="1" t="str">
        <f t="shared" si="13"/>
        <v/>
      </c>
      <c r="H263" s="1" t="str">
        <f t="shared" si="14"/>
        <v/>
      </c>
      <c r="I263" s="1" t="str">
        <f>IF($L263="","",INDEX(Ref_AccountRules,$L263,3))</f>
        <v/>
      </c>
      <c r="J263" s="1" t="str">
        <f>IF($L263="","",INDEX(Ref_AccountRules,$L263,4))</f>
        <v/>
      </c>
      <c r="K263" s="1" t="str">
        <f>IF($L263="","",INDEX(Ref_AccountRules,$L263,5))</f>
        <v/>
      </c>
      <c r="L263" s="1" t="str">
        <f t="shared" si="15"/>
        <v/>
      </c>
    </row>
    <row r="264" spans="2:12" x14ac:dyDescent="0.35">
      <c r="B264" s="12"/>
      <c r="C264" s="11"/>
      <c r="D264" s="11"/>
      <c r="E264" s="11"/>
      <c r="F264" s="1" t="str">
        <f t="shared" si="12"/>
        <v/>
      </c>
      <c r="G264" s="1" t="str">
        <f t="shared" si="13"/>
        <v/>
      </c>
      <c r="H264" s="1" t="str">
        <f t="shared" si="14"/>
        <v/>
      </c>
      <c r="I264" s="1" t="str">
        <f>IF($L264="","",INDEX(Ref_AccountRules,$L264,3))</f>
        <v/>
      </c>
      <c r="J264" s="1" t="str">
        <f>IF($L264="","",INDEX(Ref_AccountRules,$L264,4))</f>
        <v/>
      </c>
      <c r="K264" s="1" t="str">
        <f>IF($L264="","",INDEX(Ref_AccountRules,$L264,5))</f>
        <v/>
      </c>
      <c r="L264" s="1" t="str">
        <f t="shared" si="15"/>
        <v/>
      </c>
    </row>
    <row r="265" spans="2:12" x14ac:dyDescent="0.35">
      <c r="B265" s="12"/>
      <c r="C265" s="11"/>
      <c r="D265" s="11"/>
      <c r="E265" s="11"/>
      <c r="F265" s="1" t="str">
        <f t="shared" si="12"/>
        <v/>
      </c>
      <c r="G265" s="1" t="str">
        <f t="shared" si="13"/>
        <v/>
      </c>
      <c r="H265" s="1" t="str">
        <f t="shared" si="14"/>
        <v/>
      </c>
      <c r="I265" s="1" t="str">
        <f>IF($L265="","",INDEX(Ref_AccountRules,$L265,3))</f>
        <v/>
      </c>
      <c r="J265" s="1" t="str">
        <f>IF($L265="","",INDEX(Ref_AccountRules,$L265,4))</f>
        <v/>
      </c>
      <c r="K265" s="1" t="str">
        <f>IF($L265="","",INDEX(Ref_AccountRules,$L265,5))</f>
        <v/>
      </c>
      <c r="L265" s="1" t="str">
        <f t="shared" si="15"/>
        <v/>
      </c>
    </row>
    <row r="266" spans="2:12" x14ac:dyDescent="0.35">
      <c r="B266" s="12"/>
      <c r="C266" s="11"/>
      <c r="D266" s="11"/>
      <c r="E266" s="11"/>
      <c r="F266" s="1" t="str">
        <f t="shared" si="12"/>
        <v/>
      </c>
      <c r="G266" s="1" t="str">
        <f t="shared" si="13"/>
        <v/>
      </c>
      <c r="H266" s="1" t="str">
        <f t="shared" si="14"/>
        <v/>
      </c>
      <c r="I266" s="1" t="str">
        <f>IF($L266="","",INDEX(Ref_AccountRules,$L266,3))</f>
        <v/>
      </c>
      <c r="J266" s="1" t="str">
        <f>IF($L266="","",INDEX(Ref_AccountRules,$L266,4))</f>
        <v/>
      </c>
      <c r="K266" s="1" t="str">
        <f>IF($L266="","",INDEX(Ref_AccountRules,$L266,5))</f>
        <v/>
      </c>
      <c r="L266" s="1" t="str">
        <f t="shared" si="15"/>
        <v/>
      </c>
    </row>
    <row r="267" spans="2:12" x14ac:dyDescent="0.35">
      <c r="B267" s="12"/>
      <c r="C267" s="11"/>
      <c r="D267" s="11"/>
      <c r="E267" s="11"/>
      <c r="F267" s="1" t="str">
        <f t="shared" ref="F267:F330" si="16">IF($B267="","",E267-D267)</f>
        <v/>
      </c>
      <c r="G267" s="1" t="str">
        <f t="shared" ref="G267:G330" si="17">IF($B267="","",IF(D267=0,0,(E267-D267)/ABS(D267)*100))</f>
        <v/>
      </c>
      <c r="H267" s="1" t="str">
        <f t="shared" ref="H267:H330" si="18">IF($B267="","",IF(LEFT($B267,6)="606880","emballages",IF(LEFT($B267,4)="6068","emballages",IF(LEFT($B267,3)="606","energie_dechets",IF(LEFT($B267,3)="164","tresorerie_financement",IF(LEFT($B267,2)="20","immobilisations",IF(LEFT($B267,2)="21","immobilisations",IF(LEFT($B267,2)="22","immobilisations",IF(LEFT($B267,2)="23","immobilisations",IF(LEFT($B267,2)="28","immobilisations",IF(LEFT($B267,2)="40","fournisseurs",IF(LEFT($B267,2)="41","clients",IF(LEFT($B267,2)="32","stocks",IF(LEFT($B267,2)="60","charges",IF(LEFT($B267,2)="61","services",IF(LEFT($B267,2)="62","personnel",IF(LEFT($B267,2)="63","fiscal",IF(LEFT($B267,2)="64","financier","autres"))))))))))))))))))</f>
        <v/>
      </c>
      <c r="I267" s="1" t="str">
        <f>IF($L267="","",INDEX(Ref_AccountRules,$L267,3))</f>
        <v/>
      </c>
      <c r="J267" s="1" t="str">
        <f>IF($L267="","",INDEX(Ref_AccountRules,$L267,4))</f>
        <v/>
      </c>
      <c r="K267" s="1" t="str">
        <f>IF($L267="","",INDEX(Ref_AccountRules,$L267,5))</f>
        <v/>
      </c>
      <c r="L267" s="1" t="str">
        <f t="shared" ref="L267:L330" si="19">IF($B267="","",IF(LEFT($B267,3)="215",1,IF(LEFT($B267,4)="2183",2,IF(LEFT($B267,3)="401",3,IF(LEFT($B267,3)="411",4,IF(LEFT($B267,3)="322",5,IF(LEFT($B267,4)="3220",6,IF(LEFT($B267,5)="32200",7,IF(LEFT($B267,3)="625",8,IF(LEFT($B267,3)="606",9,IF(LEFT($B267,3)="164",10,IF(LEFT($B267,6)="606880",11,""))))))))))))</f>
        <v/>
      </c>
    </row>
    <row r="268" spans="2:12" x14ac:dyDescent="0.35">
      <c r="B268" s="12"/>
      <c r="C268" s="11"/>
      <c r="D268" s="11"/>
      <c r="E268" s="11"/>
      <c r="F268" s="1" t="str">
        <f t="shared" si="16"/>
        <v/>
      </c>
      <c r="G268" s="1" t="str">
        <f t="shared" si="17"/>
        <v/>
      </c>
      <c r="H268" s="1" t="str">
        <f t="shared" si="18"/>
        <v/>
      </c>
      <c r="I268" s="1" t="str">
        <f>IF($L268="","",INDEX(Ref_AccountRules,$L268,3))</f>
        <v/>
      </c>
      <c r="J268" s="1" t="str">
        <f>IF($L268="","",INDEX(Ref_AccountRules,$L268,4))</f>
        <v/>
      </c>
      <c r="K268" s="1" t="str">
        <f>IF($L268="","",INDEX(Ref_AccountRules,$L268,5))</f>
        <v/>
      </c>
      <c r="L268" s="1" t="str">
        <f t="shared" si="19"/>
        <v/>
      </c>
    </row>
    <row r="269" spans="2:12" x14ac:dyDescent="0.35">
      <c r="B269" s="12"/>
      <c r="C269" s="11"/>
      <c r="D269" s="11"/>
      <c r="E269" s="11"/>
      <c r="F269" s="1" t="str">
        <f t="shared" si="16"/>
        <v/>
      </c>
      <c r="G269" s="1" t="str">
        <f t="shared" si="17"/>
        <v/>
      </c>
      <c r="H269" s="1" t="str">
        <f t="shared" si="18"/>
        <v/>
      </c>
      <c r="I269" s="1" t="str">
        <f>IF($L269="","",INDEX(Ref_AccountRules,$L269,3))</f>
        <v/>
      </c>
      <c r="J269" s="1" t="str">
        <f>IF($L269="","",INDEX(Ref_AccountRules,$L269,4))</f>
        <v/>
      </c>
      <c r="K269" s="1" t="str">
        <f>IF($L269="","",INDEX(Ref_AccountRules,$L269,5))</f>
        <v/>
      </c>
      <c r="L269" s="1" t="str">
        <f t="shared" si="19"/>
        <v/>
      </c>
    </row>
    <row r="270" spans="2:12" x14ac:dyDescent="0.35">
      <c r="B270" s="12"/>
      <c r="C270" s="11"/>
      <c r="D270" s="11"/>
      <c r="E270" s="11"/>
      <c r="F270" s="1" t="str">
        <f t="shared" si="16"/>
        <v/>
      </c>
      <c r="G270" s="1" t="str">
        <f t="shared" si="17"/>
        <v/>
      </c>
      <c r="H270" s="1" t="str">
        <f t="shared" si="18"/>
        <v/>
      </c>
      <c r="I270" s="1" t="str">
        <f>IF($L270="","",INDEX(Ref_AccountRules,$L270,3))</f>
        <v/>
      </c>
      <c r="J270" s="1" t="str">
        <f>IF($L270="","",INDEX(Ref_AccountRules,$L270,4))</f>
        <v/>
      </c>
      <c r="K270" s="1" t="str">
        <f>IF($L270="","",INDEX(Ref_AccountRules,$L270,5))</f>
        <v/>
      </c>
      <c r="L270" s="1" t="str">
        <f t="shared" si="19"/>
        <v/>
      </c>
    </row>
    <row r="271" spans="2:12" x14ac:dyDescent="0.35">
      <c r="B271" s="12"/>
      <c r="C271" s="11"/>
      <c r="D271" s="11"/>
      <c r="E271" s="11"/>
      <c r="F271" s="1" t="str">
        <f t="shared" si="16"/>
        <v/>
      </c>
      <c r="G271" s="1" t="str">
        <f t="shared" si="17"/>
        <v/>
      </c>
      <c r="H271" s="1" t="str">
        <f t="shared" si="18"/>
        <v/>
      </c>
      <c r="I271" s="1" t="str">
        <f>IF($L271="","",INDEX(Ref_AccountRules,$L271,3))</f>
        <v/>
      </c>
      <c r="J271" s="1" t="str">
        <f>IF($L271="","",INDEX(Ref_AccountRules,$L271,4))</f>
        <v/>
      </c>
      <c r="K271" s="1" t="str">
        <f>IF($L271="","",INDEX(Ref_AccountRules,$L271,5))</f>
        <v/>
      </c>
      <c r="L271" s="1" t="str">
        <f t="shared" si="19"/>
        <v/>
      </c>
    </row>
    <row r="272" spans="2:12" x14ac:dyDescent="0.35">
      <c r="B272" s="12"/>
      <c r="C272" s="11"/>
      <c r="D272" s="11"/>
      <c r="E272" s="11"/>
      <c r="F272" s="1" t="str">
        <f t="shared" si="16"/>
        <v/>
      </c>
      <c r="G272" s="1" t="str">
        <f t="shared" si="17"/>
        <v/>
      </c>
      <c r="H272" s="1" t="str">
        <f t="shared" si="18"/>
        <v/>
      </c>
      <c r="I272" s="1" t="str">
        <f>IF($L272="","",INDEX(Ref_AccountRules,$L272,3))</f>
        <v/>
      </c>
      <c r="J272" s="1" t="str">
        <f>IF($L272="","",INDEX(Ref_AccountRules,$L272,4))</f>
        <v/>
      </c>
      <c r="K272" s="1" t="str">
        <f>IF($L272="","",INDEX(Ref_AccountRules,$L272,5))</f>
        <v/>
      </c>
      <c r="L272" s="1" t="str">
        <f t="shared" si="19"/>
        <v/>
      </c>
    </row>
    <row r="273" spans="2:12" x14ac:dyDescent="0.35">
      <c r="B273" s="12"/>
      <c r="C273" s="11"/>
      <c r="D273" s="11"/>
      <c r="E273" s="11"/>
      <c r="F273" s="1" t="str">
        <f t="shared" si="16"/>
        <v/>
      </c>
      <c r="G273" s="1" t="str">
        <f t="shared" si="17"/>
        <v/>
      </c>
      <c r="H273" s="1" t="str">
        <f t="shared" si="18"/>
        <v/>
      </c>
      <c r="I273" s="1" t="str">
        <f>IF($L273="","",INDEX(Ref_AccountRules,$L273,3))</f>
        <v/>
      </c>
      <c r="J273" s="1" t="str">
        <f>IF($L273="","",INDEX(Ref_AccountRules,$L273,4))</f>
        <v/>
      </c>
      <c r="K273" s="1" t="str">
        <f>IF($L273="","",INDEX(Ref_AccountRules,$L273,5))</f>
        <v/>
      </c>
      <c r="L273" s="1" t="str">
        <f t="shared" si="19"/>
        <v/>
      </c>
    </row>
    <row r="274" spans="2:12" x14ac:dyDescent="0.35">
      <c r="B274" s="12"/>
      <c r="C274" s="11"/>
      <c r="D274" s="11"/>
      <c r="E274" s="11"/>
      <c r="F274" s="1" t="str">
        <f t="shared" si="16"/>
        <v/>
      </c>
      <c r="G274" s="1" t="str">
        <f t="shared" si="17"/>
        <v/>
      </c>
      <c r="H274" s="1" t="str">
        <f t="shared" si="18"/>
        <v/>
      </c>
      <c r="I274" s="1" t="str">
        <f>IF($L274="","",INDEX(Ref_AccountRules,$L274,3))</f>
        <v/>
      </c>
      <c r="J274" s="1" t="str">
        <f>IF($L274="","",INDEX(Ref_AccountRules,$L274,4))</f>
        <v/>
      </c>
      <c r="K274" s="1" t="str">
        <f>IF($L274="","",INDEX(Ref_AccountRules,$L274,5))</f>
        <v/>
      </c>
      <c r="L274" s="1" t="str">
        <f t="shared" si="19"/>
        <v/>
      </c>
    </row>
    <row r="275" spans="2:12" x14ac:dyDescent="0.35">
      <c r="B275" s="12"/>
      <c r="C275" s="11"/>
      <c r="D275" s="11"/>
      <c r="E275" s="11"/>
      <c r="F275" s="1" t="str">
        <f t="shared" si="16"/>
        <v/>
      </c>
      <c r="G275" s="1" t="str">
        <f t="shared" si="17"/>
        <v/>
      </c>
      <c r="H275" s="1" t="str">
        <f t="shared" si="18"/>
        <v/>
      </c>
      <c r="I275" s="1" t="str">
        <f>IF($L275="","",INDEX(Ref_AccountRules,$L275,3))</f>
        <v/>
      </c>
      <c r="J275" s="1" t="str">
        <f>IF($L275="","",INDEX(Ref_AccountRules,$L275,4))</f>
        <v/>
      </c>
      <c r="K275" s="1" t="str">
        <f>IF($L275="","",INDEX(Ref_AccountRules,$L275,5))</f>
        <v/>
      </c>
      <c r="L275" s="1" t="str">
        <f t="shared" si="19"/>
        <v/>
      </c>
    </row>
    <row r="276" spans="2:12" x14ac:dyDescent="0.35">
      <c r="B276" s="12"/>
      <c r="C276" s="11"/>
      <c r="D276" s="11"/>
      <c r="E276" s="11"/>
      <c r="F276" s="1" t="str">
        <f t="shared" si="16"/>
        <v/>
      </c>
      <c r="G276" s="1" t="str">
        <f t="shared" si="17"/>
        <v/>
      </c>
      <c r="H276" s="1" t="str">
        <f t="shared" si="18"/>
        <v/>
      </c>
      <c r="I276" s="1" t="str">
        <f>IF($L276="","",INDEX(Ref_AccountRules,$L276,3))</f>
        <v/>
      </c>
      <c r="J276" s="1" t="str">
        <f>IF($L276="","",INDEX(Ref_AccountRules,$L276,4))</f>
        <v/>
      </c>
      <c r="K276" s="1" t="str">
        <f>IF($L276="","",INDEX(Ref_AccountRules,$L276,5))</f>
        <v/>
      </c>
      <c r="L276" s="1" t="str">
        <f t="shared" si="19"/>
        <v/>
      </c>
    </row>
    <row r="277" spans="2:12" x14ac:dyDescent="0.35">
      <c r="B277" s="12"/>
      <c r="C277" s="11"/>
      <c r="D277" s="11"/>
      <c r="E277" s="11"/>
      <c r="F277" s="1" t="str">
        <f t="shared" si="16"/>
        <v/>
      </c>
      <c r="G277" s="1" t="str">
        <f t="shared" si="17"/>
        <v/>
      </c>
      <c r="H277" s="1" t="str">
        <f t="shared" si="18"/>
        <v/>
      </c>
      <c r="I277" s="1" t="str">
        <f>IF($L277="","",INDEX(Ref_AccountRules,$L277,3))</f>
        <v/>
      </c>
      <c r="J277" s="1" t="str">
        <f>IF($L277="","",INDEX(Ref_AccountRules,$L277,4))</f>
        <v/>
      </c>
      <c r="K277" s="1" t="str">
        <f>IF($L277="","",INDEX(Ref_AccountRules,$L277,5))</f>
        <v/>
      </c>
      <c r="L277" s="1" t="str">
        <f t="shared" si="19"/>
        <v/>
      </c>
    </row>
    <row r="278" spans="2:12" x14ac:dyDescent="0.35">
      <c r="B278" s="12"/>
      <c r="C278" s="11"/>
      <c r="D278" s="11"/>
      <c r="E278" s="11"/>
      <c r="F278" s="1" t="str">
        <f t="shared" si="16"/>
        <v/>
      </c>
      <c r="G278" s="1" t="str">
        <f t="shared" si="17"/>
        <v/>
      </c>
      <c r="H278" s="1" t="str">
        <f t="shared" si="18"/>
        <v/>
      </c>
      <c r="I278" s="1" t="str">
        <f>IF($L278="","",INDEX(Ref_AccountRules,$L278,3))</f>
        <v/>
      </c>
      <c r="J278" s="1" t="str">
        <f>IF($L278="","",INDEX(Ref_AccountRules,$L278,4))</f>
        <v/>
      </c>
      <c r="K278" s="1" t="str">
        <f>IF($L278="","",INDEX(Ref_AccountRules,$L278,5))</f>
        <v/>
      </c>
      <c r="L278" s="1" t="str">
        <f t="shared" si="19"/>
        <v/>
      </c>
    </row>
    <row r="279" spans="2:12" x14ac:dyDescent="0.35">
      <c r="B279" s="12"/>
      <c r="C279" s="11"/>
      <c r="D279" s="11"/>
      <c r="E279" s="11"/>
      <c r="F279" s="1" t="str">
        <f t="shared" si="16"/>
        <v/>
      </c>
      <c r="G279" s="1" t="str">
        <f t="shared" si="17"/>
        <v/>
      </c>
      <c r="H279" s="1" t="str">
        <f t="shared" si="18"/>
        <v/>
      </c>
      <c r="I279" s="1" t="str">
        <f>IF($L279="","",INDEX(Ref_AccountRules,$L279,3))</f>
        <v/>
      </c>
      <c r="J279" s="1" t="str">
        <f>IF($L279="","",INDEX(Ref_AccountRules,$L279,4))</f>
        <v/>
      </c>
      <c r="K279" s="1" t="str">
        <f>IF($L279="","",INDEX(Ref_AccountRules,$L279,5))</f>
        <v/>
      </c>
      <c r="L279" s="1" t="str">
        <f t="shared" si="19"/>
        <v/>
      </c>
    </row>
    <row r="280" spans="2:12" x14ac:dyDescent="0.35">
      <c r="B280" s="12"/>
      <c r="C280" s="11"/>
      <c r="D280" s="11"/>
      <c r="E280" s="11"/>
      <c r="F280" s="1" t="str">
        <f t="shared" si="16"/>
        <v/>
      </c>
      <c r="G280" s="1" t="str">
        <f t="shared" si="17"/>
        <v/>
      </c>
      <c r="H280" s="1" t="str">
        <f t="shared" si="18"/>
        <v/>
      </c>
      <c r="I280" s="1" t="str">
        <f>IF($L280="","",INDEX(Ref_AccountRules,$L280,3))</f>
        <v/>
      </c>
      <c r="J280" s="1" t="str">
        <f>IF($L280="","",INDEX(Ref_AccountRules,$L280,4))</f>
        <v/>
      </c>
      <c r="K280" s="1" t="str">
        <f>IF($L280="","",INDEX(Ref_AccountRules,$L280,5))</f>
        <v/>
      </c>
      <c r="L280" s="1" t="str">
        <f t="shared" si="19"/>
        <v/>
      </c>
    </row>
    <row r="281" spans="2:12" x14ac:dyDescent="0.35">
      <c r="B281" s="12"/>
      <c r="C281" s="11"/>
      <c r="D281" s="11"/>
      <c r="E281" s="11"/>
      <c r="F281" s="1" t="str">
        <f t="shared" si="16"/>
        <v/>
      </c>
      <c r="G281" s="1" t="str">
        <f t="shared" si="17"/>
        <v/>
      </c>
      <c r="H281" s="1" t="str">
        <f t="shared" si="18"/>
        <v/>
      </c>
      <c r="I281" s="1" t="str">
        <f>IF($L281="","",INDEX(Ref_AccountRules,$L281,3))</f>
        <v/>
      </c>
      <c r="J281" s="1" t="str">
        <f>IF($L281="","",INDEX(Ref_AccountRules,$L281,4))</f>
        <v/>
      </c>
      <c r="K281" s="1" t="str">
        <f>IF($L281="","",INDEX(Ref_AccountRules,$L281,5))</f>
        <v/>
      </c>
      <c r="L281" s="1" t="str">
        <f t="shared" si="19"/>
        <v/>
      </c>
    </row>
    <row r="282" spans="2:12" x14ac:dyDescent="0.35">
      <c r="B282" s="12"/>
      <c r="C282" s="11"/>
      <c r="D282" s="11"/>
      <c r="E282" s="11"/>
      <c r="F282" s="1" t="str">
        <f t="shared" si="16"/>
        <v/>
      </c>
      <c r="G282" s="1" t="str">
        <f t="shared" si="17"/>
        <v/>
      </c>
      <c r="H282" s="1" t="str">
        <f t="shared" si="18"/>
        <v/>
      </c>
      <c r="I282" s="1" t="str">
        <f>IF($L282="","",INDEX(Ref_AccountRules,$L282,3))</f>
        <v/>
      </c>
      <c r="J282" s="1" t="str">
        <f>IF($L282="","",INDEX(Ref_AccountRules,$L282,4))</f>
        <v/>
      </c>
      <c r="K282" s="1" t="str">
        <f>IF($L282="","",INDEX(Ref_AccountRules,$L282,5))</f>
        <v/>
      </c>
      <c r="L282" s="1" t="str">
        <f t="shared" si="19"/>
        <v/>
      </c>
    </row>
    <row r="283" spans="2:12" x14ac:dyDescent="0.35">
      <c r="B283" s="12"/>
      <c r="C283" s="11"/>
      <c r="D283" s="11"/>
      <c r="E283" s="11"/>
      <c r="F283" s="1" t="str">
        <f t="shared" si="16"/>
        <v/>
      </c>
      <c r="G283" s="1" t="str">
        <f t="shared" si="17"/>
        <v/>
      </c>
      <c r="H283" s="1" t="str">
        <f t="shared" si="18"/>
        <v/>
      </c>
      <c r="I283" s="1" t="str">
        <f>IF($L283="","",INDEX(Ref_AccountRules,$L283,3))</f>
        <v/>
      </c>
      <c r="J283" s="1" t="str">
        <f>IF($L283="","",INDEX(Ref_AccountRules,$L283,4))</f>
        <v/>
      </c>
      <c r="K283" s="1" t="str">
        <f>IF($L283="","",INDEX(Ref_AccountRules,$L283,5))</f>
        <v/>
      </c>
      <c r="L283" s="1" t="str">
        <f t="shared" si="19"/>
        <v/>
      </c>
    </row>
    <row r="284" spans="2:12" x14ac:dyDescent="0.35">
      <c r="B284" s="12"/>
      <c r="C284" s="11"/>
      <c r="D284" s="11"/>
      <c r="E284" s="11"/>
      <c r="F284" s="1" t="str">
        <f t="shared" si="16"/>
        <v/>
      </c>
      <c r="G284" s="1" t="str">
        <f t="shared" si="17"/>
        <v/>
      </c>
      <c r="H284" s="1" t="str">
        <f t="shared" si="18"/>
        <v/>
      </c>
      <c r="I284" s="1" t="str">
        <f>IF($L284="","",INDEX(Ref_AccountRules,$L284,3))</f>
        <v/>
      </c>
      <c r="J284" s="1" t="str">
        <f>IF($L284="","",INDEX(Ref_AccountRules,$L284,4))</f>
        <v/>
      </c>
      <c r="K284" s="1" t="str">
        <f>IF($L284="","",INDEX(Ref_AccountRules,$L284,5))</f>
        <v/>
      </c>
      <c r="L284" s="1" t="str">
        <f t="shared" si="19"/>
        <v/>
      </c>
    </row>
    <row r="285" spans="2:12" x14ac:dyDescent="0.35">
      <c r="B285" s="12"/>
      <c r="C285" s="11"/>
      <c r="D285" s="11"/>
      <c r="E285" s="11"/>
      <c r="F285" s="1" t="str">
        <f t="shared" si="16"/>
        <v/>
      </c>
      <c r="G285" s="1" t="str">
        <f t="shared" si="17"/>
        <v/>
      </c>
      <c r="H285" s="1" t="str">
        <f t="shared" si="18"/>
        <v/>
      </c>
      <c r="I285" s="1" t="str">
        <f>IF($L285="","",INDEX(Ref_AccountRules,$L285,3))</f>
        <v/>
      </c>
      <c r="J285" s="1" t="str">
        <f>IF($L285="","",INDEX(Ref_AccountRules,$L285,4))</f>
        <v/>
      </c>
      <c r="K285" s="1" t="str">
        <f>IF($L285="","",INDEX(Ref_AccountRules,$L285,5))</f>
        <v/>
      </c>
      <c r="L285" s="1" t="str">
        <f t="shared" si="19"/>
        <v/>
      </c>
    </row>
    <row r="286" spans="2:12" x14ac:dyDescent="0.35">
      <c r="B286" s="12"/>
      <c r="C286" s="11"/>
      <c r="D286" s="11"/>
      <c r="E286" s="11"/>
      <c r="F286" s="1" t="str">
        <f t="shared" si="16"/>
        <v/>
      </c>
      <c r="G286" s="1" t="str">
        <f t="shared" si="17"/>
        <v/>
      </c>
      <c r="H286" s="1" t="str">
        <f t="shared" si="18"/>
        <v/>
      </c>
      <c r="I286" s="1" t="str">
        <f>IF($L286="","",INDEX(Ref_AccountRules,$L286,3))</f>
        <v/>
      </c>
      <c r="J286" s="1" t="str">
        <f>IF($L286="","",INDEX(Ref_AccountRules,$L286,4))</f>
        <v/>
      </c>
      <c r="K286" s="1" t="str">
        <f>IF($L286="","",INDEX(Ref_AccountRules,$L286,5))</f>
        <v/>
      </c>
      <c r="L286" s="1" t="str">
        <f t="shared" si="19"/>
        <v/>
      </c>
    </row>
    <row r="287" spans="2:12" x14ac:dyDescent="0.35">
      <c r="B287" s="12"/>
      <c r="C287" s="11"/>
      <c r="D287" s="11"/>
      <c r="E287" s="11"/>
      <c r="F287" s="1" t="str">
        <f t="shared" si="16"/>
        <v/>
      </c>
      <c r="G287" s="1" t="str">
        <f t="shared" si="17"/>
        <v/>
      </c>
      <c r="H287" s="1" t="str">
        <f t="shared" si="18"/>
        <v/>
      </c>
      <c r="I287" s="1" t="str">
        <f>IF($L287="","",INDEX(Ref_AccountRules,$L287,3))</f>
        <v/>
      </c>
      <c r="J287" s="1" t="str">
        <f>IF($L287="","",INDEX(Ref_AccountRules,$L287,4))</f>
        <v/>
      </c>
      <c r="K287" s="1" t="str">
        <f>IF($L287="","",INDEX(Ref_AccountRules,$L287,5))</f>
        <v/>
      </c>
      <c r="L287" s="1" t="str">
        <f t="shared" si="19"/>
        <v/>
      </c>
    </row>
    <row r="288" spans="2:12" x14ac:dyDescent="0.35">
      <c r="B288" s="12"/>
      <c r="C288" s="11"/>
      <c r="D288" s="11"/>
      <c r="E288" s="11"/>
      <c r="F288" s="1" t="str">
        <f t="shared" si="16"/>
        <v/>
      </c>
      <c r="G288" s="1" t="str">
        <f t="shared" si="17"/>
        <v/>
      </c>
      <c r="H288" s="1" t="str">
        <f t="shared" si="18"/>
        <v/>
      </c>
      <c r="I288" s="1" t="str">
        <f>IF($L288="","",INDEX(Ref_AccountRules,$L288,3))</f>
        <v/>
      </c>
      <c r="J288" s="1" t="str">
        <f>IF($L288="","",INDEX(Ref_AccountRules,$L288,4))</f>
        <v/>
      </c>
      <c r="K288" s="1" t="str">
        <f>IF($L288="","",INDEX(Ref_AccountRules,$L288,5))</f>
        <v/>
      </c>
      <c r="L288" s="1" t="str">
        <f t="shared" si="19"/>
        <v/>
      </c>
    </row>
    <row r="289" spans="2:12" x14ac:dyDescent="0.35">
      <c r="B289" s="12"/>
      <c r="C289" s="11"/>
      <c r="D289" s="11"/>
      <c r="E289" s="11"/>
      <c r="F289" s="1" t="str">
        <f t="shared" si="16"/>
        <v/>
      </c>
      <c r="G289" s="1" t="str">
        <f t="shared" si="17"/>
        <v/>
      </c>
      <c r="H289" s="1" t="str">
        <f t="shared" si="18"/>
        <v/>
      </c>
      <c r="I289" s="1" t="str">
        <f>IF($L289="","",INDEX(Ref_AccountRules,$L289,3))</f>
        <v/>
      </c>
      <c r="J289" s="1" t="str">
        <f>IF($L289="","",INDEX(Ref_AccountRules,$L289,4))</f>
        <v/>
      </c>
      <c r="K289" s="1" t="str">
        <f>IF($L289="","",INDEX(Ref_AccountRules,$L289,5))</f>
        <v/>
      </c>
      <c r="L289" s="1" t="str">
        <f t="shared" si="19"/>
        <v/>
      </c>
    </row>
    <row r="290" spans="2:12" x14ac:dyDescent="0.35">
      <c r="B290" s="12"/>
      <c r="C290" s="11"/>
      <c r="D290" s="11"/>
      <c r="E290" s="11"/>
      <c r="F290" s="1" t="str">
        <f t="shared" si="16"/>
        <v/>
      </c>
      <c r="G290" s="1" t="str">
        <f t="shared" si="17"/>
        <v/>
      </c>
      <c r="H290" s="1" t="str">
        <f t="shared" si="18"/>
        <v/>
      </c>
      <c r="I290" s="1" t="str">
        <f>IF($L290="","",INDEX(Ref_AccountRules,$L290,3))</f>
        <v/>
      </c>
      <c r="J290" s="1" t="str">
        <f>IF($L290="","",INDEX(Ref_AccountRules,$L290,4))</f>
        <v/>
      </c>
      <c r="K290" s="1" t="str">
        <f>IF($L290="","",INDEX(Ref_AccountRules,$L290,5))</f>
        <v/>
      </c>
      <c r="L290" s="1" t="str">
        <f t="shared" si="19"/>
        <v/>
      </c>
    </row>
    <row r="291" spans="2:12" x14ac:dyDescent="0.35">
      <c r="B291" s="12"/>
      <c r="C291" s="11"/>
      <c r="D291" s="11"/>
      <c r="E291" s="11"/>
      <c r="F291" s="1" t="str">
        <f t="shared" si="16"/>
        <v/>
      </c>
      <c r="G291" s="1" t="str">
        <f t="shared" si="17"/>
        <v/>
      </c>
      <c r="H291" s="1" t="str">
        <f t="shared" si="18"/>
        <v/>
      </c>
      <c r="I291" s="1" t="str">
        <f>IF($L291="","",INDEX(Ref_AccountRules,$L291,3))</f>
        <v/>
      </c>
      <c r="J291" s="1" t="str">
        <f>IF($L291="","",INDEX(Ref_AccountRules,$L291,4))</f>
        <v/>
      </c>
      <c r="K291" s="1" t="str">
        <f>IF($L291="","",INDEX(Ref_AccountRules,$L291,5))</f>
        <v/>
      </c>
      <c r="L291" s="1" t="str">
        <f t="shared" si="19"/>
        <v/>
      </c>
    </row>
    <row r="292" spans="2:12" x14ac:dyDescent="0.35">
      <c r="B292" s="12"/>
      <c r="C292" s="11"/>
      <c r="D292" s="11"/>
      <c r="E292" s="11"/>
      <c r="F292" s="1" t="str">
        <f t="shared" si="16"/>
        <v/>
      </c>
      <c r="G292" s="1" t="str">
        <f t="shared" si="17"/>
        <v/>
      </c>
      <c r="H292" s="1" t="str">
        <f t="shared" si="18"/>
        <v/>
      </c>
      <c r="I292" s="1" t="str">
        <f>IF($L292="","",INDEX(Ref_AccountRules,$L292,3))</f>
        <v/>
      </c>
      <c r="J292" s="1" t="str">
        <f>IF($L292="","",INDEX(Ref_AccountRules,$L292,4))</f>
        <v/>
      </c>
      <c r="K292" s="1" t="str">
        <f>IF($L292="","",INDEX(Ref_AccountRules,$L292,5))</f>
        <v/>
      </c>
      <c r="L292" s="1" t="str">
        <f t="shared" si="19"/>
        <v/>
      </c>
    </row>
    <row r="293" spans="2:12" x14ac:dyDescent="0.35">
      <c r="B293" s="12"/>
      <c r="C293" s="11"/>
      <c r="D293" s="11"/>
      <c r="E293" s="11"/>
      <c r="F293" s="1" t="str">
        <f t="shared" si="16"/>
        <v/>
      </c>
      <c r="G293" s="1" t="str">
        <f t="shared" si="17"/>
        <v/>
      </c>
      <c r="H293" s="1" t="str">
        <f t="shared" si="18"/>
        <v/>
      </c>
      <c r="I293" s="1" t="str">
        <f>IF($L293="","",INDEX(Ref_AccountRules,$L293,3))</f>
        <v/>
      </c>
      <c r="J293" s="1" t="str">
        <f>IF($L293="","",INDEX(Ref_AccountRules,$L293,4))</f>
        <v/>
      </c>
      <c r="K293" s="1" t="str">
        <f>IF($L293="","",INDEX(Ref_AccountRules,$L293,5))</f>
        <v/>
      </c>
      <c r="L293" s="1" t="str">
        <f t="shared" si="19"/>
        <v/>
      </c>
    </row>
    <row r="294" spans="2:12" x14ac:dyDescent="0.35">
      <c r="B294" s="12"/>
      <c r="C294" s="11"/>
      <c r="D294" s="11"/>
      <c r="E294" s="11"/>
      <c r="F294" s="1" t="str">
        <f t="shared" si="16"/>
        <v/>
      </c>
      <c r="G294" s="1" t="str">
        <f t="shared" si="17"/>
        <v/>
      </c>
      <c r="H294" s="1" t="str">
        <f t="shared" si="18"/>
        <v/>
      </c>
      <c r="I294" s="1" t="str">
        <f>IF($L294="","",INDEX(Ref_AccountRules,$L294,3))</f>
        <v/>
      </c>
      <c r="J294" s="1" t="str">
        <f>IF($L294="","",INDEX(Ref_AccountRules,$L294,4))</f>
        <v/>
      </c>
      <c r="K294" s="1" t="str">
        <f>IF($L294="","",INDEX(Ref_AccountRules,$L294,5))</f>
        <v/>
      </c>
      <c r="L294" s="1" t="str">
        <f t="shared" si="19"/>
        <v/>
      </c>
    </row>
    <row r="295" spans="2:12" x14ac:dyDescent="0.35">
      <c r="B295" s="12"/>
      <c r="C295" s="11"/>
      <c r="D295" s="11"/>
      <c r="E295" s="11"/>
      <c r="F295" s="1" t="str">
        <f t="shared" si="16"/>
        <v/>
      </c>
      <c r="G295" s="1" t="str">
        <f t="shared" si="17"/>
        <v/>
      </c>
      <c r="H295" s="1" t="str">
        <f t="shared" si="18"/>
        <v/>
      </c>
      <c r="I295" s="1" t="str">
        <f>IF($L295="","",INDEX(Ref_AccountRules,$L295,3))</f>
        <v/>
      </c>
      <c r="J295" s="1" t="str">
        <f>IF($L295="","",INDEX(Ref_AccountRules,$L295,4))</f>
        <v/>
      </c>
      <c r="K295" s="1" t="str">
        <f>IF($L295="","",INDEX(Ref_AccountRules,$L295,5))</f>
        <v/>
      </c>
      <c r="L295" s="1" t="str">
        <f t="shared" si="19"/>
        <v/>
      </c>
    </row>
    <row r="296" spans="2:12" x14ac:dyDescent="0.35">
      <c r="B296" s="12"/>
      <c r="C296" s="11"/>
      <c r="D296" s="11"/>
      <c r="E296" s="11"/>
      <c r="F296" s="1" t="str">
        <f t="shared" si="16"/>
        <v/>
      </c>
      <c r="G296" s="1" t="str">
        <f t="shared" si="17"/>
        <v/>
      </c>
      <c r="H296" s="1" t="str">
        <f t="shared" si="18"/>
        <v/>
      </c>
      <c r="I296" s="1" t="str">
        <f>IF($L296="","",INDEX(Ref_AccountRules,$L296,3))</f>
        <v/>
      </c>
      <c r="J296" s="1" t="str">
        <f>IF($L296="","",INDEX(Ref_AccountRules,$L296,4))</f>
        <v/>
      </c>
      <c r="K296" s="1" t="str">
        <f>IF($L296="","",INDEX(Ref_AccountRules,$L296,5))</f>
        <v/>
      </c>
      <c r="L296" s="1" t="str">
        <f t="shared" si="19"/>
        <v/>
      </c>
    </row>
    <row r="297" spans="2:12" x14ac:dyDescent="0.35">
      <c r="B297" s="12"/>
      <c r="C297" s="11"/>
      <c r="D297" s="11"/>
      <c r="E297" s="11"/>
      <c r="F297" s="1" t="str">
        <f t="shared" si="16"/>
        <v/>
      </c>
      <c r="G297" s="1" t="str">
        <f t="shared" si="17"/>
        <v/>
      </c>
      <c r="H297" s="1" t="str">
        <f t="shared" si="18"/>
        <v/>
      </c>
      <c r="I297" s="1" t="str">
        <f>IF($L297="","",INDEX(Ref_AccountRules,$L297,3))</f>
        <v/>
      </c>
      <c r="J297" s="1" t="str">
        <f>IF($L297="","",INDEX(Ref_AccountRules,$L297,4))</f>
        <v/>
      </c>
      <c r="K297" s="1" t="str">
        <f>IF($L297="","",INDEX(Ref_AccountRules,$L297,5))</f>
        <v/>
      </c>
      <c r="L297" s="1" t="str">
        <f t="shared" si="19"/>
        <v/>
      </c>
    </row>
    <row r="298" spans="2:12" x14ac:dyDescent="0.35">
      <c r="B298" s="12"/>
      <c r="C298" s="11"/>
      <c r="D298" s="11"/>
      <c r="E298" s="11"/>
      <c r="F298" s="1" t="str">
        <f t="shared" si="16"/>
        <v/>
      </c>
      <c r="G298" s="1" t="str">
        <f t="shared" si="17"/>
        <v/>
      </c>
      <c r="H298" s="1" t="str">
        <f t="shared" si="18"/>
        <v/>
      </c>
      <c r="I298" s="1" t="str">
        <f>IF($L298="","",INDEX(Ref_AccountRules,$L298,3))</f>
        <v/>
      </c>
      <c r="J298" s="1" t="str">
        <f>IF($L298="","",INDEX(Ref_AccountRules,$L298,4))</f>
        <v/>
      </c>
      <c r="K298" s="1" t="str">
        <f>IF($L298="","",INDEX(Ref_AccountRules,$L298,5))</f>
        <v/>
      </c>
      <c r="L298" s="1" t="str">
        <f t="shared" si="19"/>
        <v/>
      </c>
    </row>
    <row r="299" spans="2:12" x14ac:dyDescent="0.35">
      <c r="B299" s="12"/>
      <c r="C299" s="11"/>
      <c r="D299" s="11"/>
      <c r="E299" s="11"/>
      <c r="F299" s="1" t="str">
        <f t="shared" si="16"/>
        <v/>
      </c>
      <c r="G299" s="1" t="str">
        <f t="shared" si="17"/>
        <v/>
      </c>
      <c r="H299" s="1" t="str">
        <f t="shared" si="18"/>
        <v/>
      </c>
      <c r="I299" s="1" t="str">
        <f>IF($L299="","",INDEX(Ref_AccountRules,$L299,3))</f>
        <v/>
      </c>
      <c r="J299" s="1" t="str">
        <f>IF($L299="","",INDEX(Ref_AccountRules,$L299,4))</f>
        <v/>
      </c>
      <c r="K299" s="1" t="str">
        <f>IF($L299="","",INDEX(Ref_AccountRules,$L299,5))</f>
        <v/>
      </c>
      <c r="L299" s="1" t="str">
        <f t="shared" si="19"/>
        <v/>
      </c>
    </row>
    <row r="300" spans="2:12" x14ac:dyDescent="0.35">
      <c r="B300" s="12"/>
      <c r="C300" s="11"/>
      <c r="D300" s="11"/>
      <c r="E300" s="11"/>
      <c r="F300" s="1" t="str">
        <f t="shared" si="16"/>
        <v/>
      </c>
      <c r="G300" s="1" t="str">
        <f t="shared" si="17"/>
        <v/>
      </c>
      <c r="H300" s="1" t="str">
        <f t="shared" si="18"/>
        <v/>
      </c>
      <c r="I300" s="1" t="str">
        <f>IF($L300="","",INDEX(Ref_AccountRules,$L300,3))</f>
        <v/>
      </c>
      <c r="J300" s="1" t="str">
        <f>IF($L300="","",INDEX(Ref_AccountRules,$L300,4))</f>
        <v/>
      </c>
      <c r="K300" s="1" t="str">
        <f>IF($L300="","",INDEX(Ref_AccountRules,$L300,5))</f>
        <v/>
      </c>
      <c r="L300" s="1" t="str">
        <f t="shared" si="19"/>
        <v/>
      </c>
    </row>
    <row r="301" spans="2:12" x14ac:dyDescent="0.35">
      <c r="B301" s="12"/>
      <c r="C301" s="11"/>
      <c r="D301" s="11"/>
      <c r="E301" s="11"/>
      <c r="F301" s="1" t="str">
        <f t="shared" si="16"/>
        <v/>
      </c>
      <c r="G301" s="1" t="str">
        <f t="shared" si="17"/>
        <v/>
      </c>
      <c r="H301" s="1" t="str">
        <f t="shared" si="18"/>
        <v/>
      </c>
      <c r="I301" s="1" t="str">
        <f>IF($L301="","",INDEX(Ref_AccountRules,$L301,3))</f>
        <v/>
      </c>
      <c r="J301" s="1" t="str">
        <f>IF($L301="","",INDEX(Ref_AccountRules,$L301,4))</f>
        <v/>
      </c>
      <c r="K301" s="1" t="str">
        <f>IF($L301="","",INDEX(Ref_AccountRules,$L301,5))</f>
        <v/>
      </c>
      <c r="L301" s="1" t="str">
        <f t="shared" si="19"/>
        <v/>
      </c>
    </row>
    <row r="302" spans="2:12" x14ac:dyDescent="0.35">
      <c r="B302" s="12"/>
      <c r="C302" s="11"/>
      <c r="D302" s="11"/>
      <c r="E302" s="11"/>
      <c r="F302" s="1" t="str">
        <f t="shared" si="16"/>
        <v/>
      </c>
      <c r="G302" s="1" t="str">
        <f t="shared" si="17"/>
        <v/>
      </c>
      <c r="H302" s="1" t="str">
        <f t="shared" si="18"/>
        <v/>
      </c>
      <c r="I302" s="1" t="str">
        <f>IF($L302="","",INDEX(Ref_AccountRules,$L302,3))</f>
        <v/>
      </c>
      <c r="J302" s="1" t="str">
        <f>IF($L302="","",INDEX(Ref_AccountRules,$L302,4))</f>
        <v/>
      </c>
      <c r="K302" s="1" t="str">
        <f>IF($L302="","",INDEX(Ref_AccountRules,$L302,5))</f>
        <v/>
      </c>
      <c r="L302" s="1" t="str">
        <f t="shared" si="19"/>
        <v/>
      </c>
    </row>
    <row r="303" spans="2:12" x14ac:dyDescent="0.35">
      <c r="B303" s="12"/>
      <c r="C303" s="11"/>
      <c r="D303" s="11"/>
      <c r="E303" s="11"/>
      <c r="F303" s="1" t="str">
        <f t="shared" si="16"/>
        <v/>
      </c>
      <c r="G303" s="1" t="str">
        <f t="shared" si="17"/>
        <v/>
      </c>
      <c r="H303" s="1" t="str">
        <f t="shared" si="18"/>
        <v/>
      </c>
      <c r="I303" s="1" t="str">
        <f>IF($L303="","",INDEX(Ref_AccountRules,$L303,3))</f>
        <v/>
      </c>
      <c r="J303" s="1" t="str">
        <f>IF($L303="","",INDEX(Ref_AccountRules,$L303,4))</f>
        <v/>
      </c>
      <c r="K303" s="1" t="str">
        <f>IF($L303="","",INDEX(Ref_AccountRules,$L303,5))</f>
        <v/>
      </c>
      <c r="L303" s="1" t="str">
        <f t="shared" si="19"/>
        <v/>
      </c>
    </row>
    <row r="304" spans="2:12" x14ac:dyDescent="0.35">
      <c r="B304" s="12"/>
      <c r="C304" s="11"/>
      <c r="D304" s="11"/>
      <c r="E304" s="11"/>
      <c r="F304" s="1" t="str">
        <f t="shared" si="16"/>
        <v/>
      </c>
      <c r="G304" s="1" t="str">
        <f t="shared" si="17"/>
        <v/>
      </c>
      <c r="H304" s="1" t="str">
        <f t="shared" si="18"/>
        <v/>
      </c>
      <c r="I304" s="1" t="str">
        <f>IF($L304="","",INDEX(Ref_AccountRules,$L304,3))</f>
        <v/>
      </c>
      <c r="J304" s="1" t="str">
        <f>IF($L304="","",INDEX(Ref_AccountRules,$L304,4))</f>
        <v/>
      </c>
      <c r="K304" s="1" t="str">
        <f>IF($L304="","",INDEX(Ref_AccountRules,$L304,5))</f>
        <v/>
      </c>
      <c r="L304" s="1" t="str">
        <f t="shared" si="19"/>
        <v/>
      </c>
    </row>
    <row r="305" spans="2:12" x14ac:dyDescent="0.35">
      <c r="B305" s="12"/>
      <c r="C305" s="11"/>
      <c r="D305" s="11"/>
      <c r="E305" s="11"/>
      <c r="F305" s="1" t="str">
        <f t="shared" si="16"/>
        <v/>
      </c>
      <c r="G305" s="1" t="str">
        <f t="shared" si="17"/>
        <v/>
      </c>
      <c r="H305" s="1" t="str">
        <f t="shared" si="18"/>
        <v/>
      </c>
      <c r="I305" s="1" t="str">
        <f>IF($L305="","",INDEX(Ref_AccountRules,$L305,3))</f>
        <v/>
      </c>
      <c r="J305" s="1" t="str">
        <f>IF($L305="","",INDEX(Ref_AccountRules,$L305,4))</f>
        <v/>
      </c>
      <c r="K305" s="1" t="str">
        <f>IF($L305="","",INDEX(Ref_AccountRules,$L305,5))</f>
        <v/>
      </c>
      <c r="L305" s="1" t="str">
        <f t="shared" si="19"/>
        <v/>
      </c>
    </row>
    <row r="306" spans="2:12" x14ac:dyDescent="0.35">
      <c r="B306" s="12"/>
      <c r="C306" s="11"/>
      <c r="D306" s="11"/>
      <c r="E306" s="11"/>
      <c r="F306" s="1" t="str">
        <f t="shared" si="16"/>
        <v/>
      </c>
      <c r="G306" s="1" t="str">
        <f t="shared" si="17"/>
        <v/>
      </c>
      <c r="H306" s="1" t="str">
        <f t="shared" si="18"/>
        <v/>
      </c>
      <c r="I306" s="1" t="str">
        <f>IF($L306="","",INDEX(Ref_AccountRules,$L306,3))</f>
        <v/>
      </c>
      <c r="J306" s="1" t="str">
        <f>IF($L306="","",INDEX(Ref_AccountRules,$L306,4))</f>
        <v/>
      </c>
      <c r="K306" s="1" t="str">
        <f>IF($L306="","",INDEX(Ref_AccountRules,$L306,5))</f>
        <v/>
      </c>
      <c r="L306" s="1" t="str">
        <f t="shared" si="19"/>
        <v/>
      </c>
    </row>
    <row r="307" spans="2:12" x14ac:dyDescent="0.35">
      <c r="B307" s="12"/>
      <c r="C307" s="11"/>
      <c r="D307" s="11"/>
      <c r="E307" s="11"/>
      <c r="F307" s="1" t="str">
        <f t="shared" si="16"/>
        <v/>
      </c>
      <c r="G307" s="1" t="str">
        <f t="shared" si="17"/>
        <v/>
      </c>
      <c r="H307" s="1" t="str">
        <f t="shared" si="18"/>
        <v/>
      </c>
      <c r="I307" s="1" t="str">
        <f>IF($L307="","",INDEX(Ref_AccountRules,$L307,3))</f>
        <v/>
      </c>
      <c r="J307" s="1" t="str">
        <f>IF($L307="","",INDEX(Ref_AccountRules,$L307,4))</f>
        <v/>
      </c>
      <c r="K307" s="1" t="str">
        <f>IF($L307="","",INDEX(Ref_AccountRules,$L307,5))</f>
        <v/>
      </c>
      <c r="L307" s="1" t="str">
        <f t="shared" si="19"/>
        <v/>
      </c>
    </row>
    <row r="308" spans="2:12" x14ac:dyDescent="0.35">
      <c r="B308" s="12"/>
      <c r="C308" s="11"/>
      <c r="D308" s="11"/>
      <c r="E308" s="11"/>
      <c r="F308" s="1" t="str">
        <f t="shared" si="16"/>
        <v/>
      </c>
      <c r="G308" s="1" t="str">
        <f t="shared" si="17"/>
        <v/>
      </c>
      <c r="H308" s="1" t="str">
        <f t="shared" si="18"/>
        <v/>
      </c>
      <c r="I308" s="1" t="str">
        <f>IF($L308="","",INDEX(Ref_AccountRules,$L308,3))</f>
        <v/>
      </c>
      <c r="J308" s="1" t="str">
        <f>IF($L308="","",INDEX(Ref_AccountRules,$L308,4))</f>
        <v/>
      </c>
      <c r="K308" s="1" t="str">
        <f>IF($L308="","",INDEX(Ref_AccountRules,$L308,5))</f>
        <v/>
      </c>
      <c r="L308" s="1" t="str">
        <f t="shared" si="19"/>
        <v/>
      </c>
    </row>
    <row r="309" spans="2:12" x14ac:dyDescent="0.35">
      <c r="B309" s="12"/>
      <c r="C309" s="11"/>
      <c r="D309" s="11"/>
      <c r="E309" s="11"/>
      <c r="F309" s="1" t="str">
        <f t="shared" si="16"/>
        <v/>
      </c>
      <c r="G309" s="1" t="str">
        <f t="shared" si="17"/>
        <v/>
      </c>
      <c r="H309" s="1" t="str">
        <f t="shared" si="18"/>
        <v/>
      </c>
      <c r="I309" s="1" t="str">
        <f>IF($L309="","",INDEX(Ref_AccountRules,$L309,3))</f>
        <v/>
      </c>
      <c r="J309" s="1" t="str">
        <f>IF($L309="","",INDEX(Ref_AccountRules,$L309,4))</f>
        <v/>
      </c>
      <c r="K309" s="1" t="str">
        <f>IF($L309="","",INDEX(Ref_AccountRules,$L309,5))</f>
        <v/>
      </c>
      <c r="L309" s="1" t="str">
        <f t="shared" si="19"/>
        <v/>
      </c>
    </row>
    <row r="310" spans="2:12" x14ac:dyDescent="0.35">
      <c r="B310" s="12"/>
      <c r="C310" s="11"/>
      <c r="D310" s="11"/>
      <c r="E310" s="11"/>
      <c r="F310" s="1" t="str">
        <f t="shared" si="16"/>
        <v/>
      </c>
      <c r="G310" s="1" t="str">
        <f t="shared" si="17"/>
        <v/>
      </c>
      <c r="H310" s="1" t="str">
        <f t="shared" si="18"/>
        <v/>
      </c>
      <c r="I310" s="1" t="str">
        <f>IF($L310="","",INDEX(Ref_AccountRules,$L310,3))</f>
        <v/>
      </c>
      <c r="J310" s="1" t="str">
        <f>IF($L310="","",INDEX(Ref_AccountRules,$L310,4))</f>
        <v/>
      </c>
      <c r="K310" s="1" t="str">
        <f>IF($L310="","",INDEX(Ref_AccountRules,$L310,5))</f>
        <v/>
      </c>
      <c r="L310" s="1" t="str">
        <f t="shared" si="19"/>
        <v/>
      </c>
    </row>
    <row r="311" spans="2:12" x14ac:dyDescent="0.35">
      <c r="B311" s="12"/>
      <c r="C311" s="11"/>
      <c r="D311" s="11"/>
      <c r="E311" s="11"/>
      <c r="F311" s="1" t="str">
        <f t="shared" si="16"/>
        <v/>
      </c>
      <c r="G311" s="1" t="str">
        <f t="shared" si="17"/>
        <v/>
      </c>
      <c r="H311" s="1" t="str">
        <f t="shared" si="18"/>
        <v/>
      </c>
      <c r="I311" s="1" t="str">
        <f>IF($L311="","",INDEX(Ref_AccountRules,$L311,3))</f>
        <v/>
      </c>
      <c r="J311" s="1" t="str">
        <f>IF($L311="","",INDEX(Ref_AccountRules,$L311,4))</f>
        <v/>
      </c>
      <c r="K311" s="1" t="str">
        <f>IF($L311="","",INDEX(Ref_AccountRules,$L311,5))</f>
        <v/>
      </c>
      <c r="L311" s="1" t="str">
        <f t="shared" si="19"/>
        <v/>
      </c>
    </row>
    <row r="312" spans="2:12" x14ac:dyDescent="0.35">
      <c r="B312" s="12"/>
      <c r="C312" s="11"/>
      <c r="D312" s="11"/>
      <c r="E312" s="11"/>
      <c r="F312" s="1" t="str">
        <f t="shared" si="16"/>
        <v/>
      </c>
      <c r="G312" s="1" t="str">
        <f t="shared" si="17"/>
        <v/>
      </c>
      <c r="H312" s="1" t="str">
        <f t="shared" si="18"/>
        <v/>
      </c>
      <c r="I312" s="1" t="str">
        <f>IF($L312="","",INDEX(Ref_AccountRules,$L312,3))</f>
        <v/>
      </c>
      <c r="J312" s="1" t="str">
        <f>IF($L312="","",INDEX(Ref_AccountRules,$L312,4))</f>
        <v/>
      </c>
      <c r="K312" s="1" t="str">
        <f>IF($L312="","",INDEX(Ref_AccountRules,$L312,5))</f>
        <v/>
      </c>
      <c r="L312" s="1" t="str">
        <f t="shared" si="19"/>
        <v/>
      </c>
    </row>
    <row r="313" spans="2:12" x14ac:dyDescent="0.35">
      <c r="B313" s="12"/>
      <c r="C313" s="11"/>
      <c r="D313" s="11"/>
      <c r="E313" s="11"/>
      <c r="F313" s="1" t="str">
        <f t="shared" si="16"/>
        <v/>
      </c>
      <c r="G313" s="1" t="str">
        <f t="shared" si="17"/>
        <v/>
      </c>
      <c r="H313" s="1" t="str">
        <f t="shared" si="18"/>
        <v/>
      </c>
      <c r="I313" s="1" t="str">
        <f>IF($L313="","",INDEX(Ref_AccountRules,$L313,3))</f>
        <v/>
      </c>
      <c r="J313" s="1" t="str">
        <f>IF($L313="","",INDEX(Ref_AccountRules,$L313,4))</f>
        <v/>
      </c>
      <c r="K313" s="1" t="str">
        <f>IF($L313="","",INDEX(Ref_AccountRules,$L313,5))</f>
        <v/>
      </c>
      <c r="L313" s="1" t="str">
        <f t="shared" si="19"/>
        <v/>
      </c>
    </row>
    <row r="314" spans="2:12" x14ac:dyDescent="0.35">
      <c r="B314" s="12"/>
      <c r="C314" s="11"/>
      <c r="D314" s="11"/>
      <c r="E314" s="11"/>
      <c r="F314" s="1" t="str">
        <f t="shared" si="16"/>
        <v/>
      </c>
      <c r="G314" s="1" t="str">
        <f t="shared" si="17"/>
        <v/>
      </c>
      <c r="H314" s="1" t="str">
        <f t="shared" si="18"/>
        <v/>
      </c>
      <c r="I314" s="1" t="str">
        <f>IF($L314="","",INDEX(Ref_AccountRules,$L314,3))</f>
        <v/>
      </c>
      <c r="J314" s="1" t="str">
        <f>IF($L314="","",INDEX(Ref_AccountRules,$L314,4))</f>
        <v/>
      </c>
      <c r="K314" s="1" t="str">
        <f>IF($L314="","",INDEX(Ref_AccountRules,$L314,5))</f>
        <v/>
      </c>
      <c r="L314" s="1" t="str">
        <f t="shared" si="19"/>
        <v/>
      </c>
    </row>
    <row r="315" spans="2:12" x14ac:dyDescent="0.35">
      <c r="B315" s="12"/>
      <c r="C315" s="11"/>
      <c r="D315" s="11"/>
      <c r="E315" s="11"/>
      <c r="F315" s="1" t="str">
        <f t="shared" si="16"/>
        <v/>
      </c>
      <c r="G315" s="1" t="str">
        <f t="shared" si="17"/>
        <v/>
      </c>
      <c r="H315" s="1" t="str">
        <f t="shared" si="18"/>
        <v/>
      </c>
      <c r="I315" s="1" t="str">
        <f>IF($L315="","",INDEX(Ref_AccountRules,$L315,3))</f>
        <v/>
      </c>
      <c r="J315" s="1" t="str">
        <f>IF($L315="","",INDEX(Ref_AccountRules,$L315,4))</f>
        <v/>
      </c>
      <c r="K315" s="1" t="str">
        <f>IF($L315="","",INDEX(Ref_AccountRules,$L315,5))</f>
        <v/>
      </c>
      <c r="L315" s="1" t="str">
        <f t="shared" si="19"/>
        <v/>
      </c>
    </row>
    <row r="316" spans="2:12" x14ac:dyDescent="0.35">
      <c r="B316" s="12"/>
      <c r="C316" s="11"/>
      <c r="D316" s="11"/>
      <c r="E316" s="11"/>
      <c r="F316" s="1" t="str">
        <f t="shared" si="16"/>
        <v/>
      </c>
      <c r="G316" s="1" t="str">
        <f t="shared" si="17"/>
        <v/>
      </c>
      <c r="H316" s="1" t="str">
        <f t="shared" si="18"/>
        <v/>
      </c>
      <c r="I316" s="1" t="str">
        <f>IF($L316="","",INDEX(Ref_AccountRules,$L316,3))</f>
        <v/>
      </c>
      <c r="J316" s="1" t="str">
        <f>IF($L316="","",INDEX(Ref_AccountRules,$L316,4))</f>
        <v/>
      </c>
      <c r="K316" s="1" t="str">
        <f>IF($L316="","",INDEX(Ref_AccountRules,$L316,5))</f>
        <v/>
      </c>
      <c r="L316" s="1" t="str">
        <f t="shared" si="19"/>
        <v/>
      </c>
    </row>
    <row r="317" spans="2:12" x14ac:dyDescent="0.35">
      <c r="B317" s="12"/>
      <c r="C317" s="11"/>
      <c r="D317" s="11"/>
      <c r="E317" s="11"/>
      <c r="F317" s="1" t="str">
        <f t="shared" si="16"/>
        <v/>
      </c>
      <c r="G317" s="1" t="str">
        <f t="shared" si="17"/>
        <v/>
      </c>
      <c r="H317" s="1" t="str">
        <f t="shared" si="18"/>
        <v/>
      </c>
      <c r="I317" s="1" t="str">
        <f>IF($L317="","",INDEX(Ref_AccountRules,$L317,3))</f>
        <v/>
      </c>
      <c r="J317" s="1" t="str">
        <f>IF($L317="","",INDEX(Ref_AccountRules,$L317,4))</f>
        <v/>
      </c>
      <c r="K317" s="1" t="str">
        <f>IF($L317="","",INDEX(Ref_AccountRules,$L317,5))</f>
        <v/>
      </c>
      <c r="L317" s="1" t="str">
        <f t="shared" si="19"/>
        <v/>
      </c>
    </row>
    <row r="318" spans="2:12" x14ac:dyDescent="0.35">
      <c r="B318" s="12"/>
      <c r="C318" s="11"/>
      <c r="D318" s="11"/>
      <c r="E318" s="11"/>
      <c r="F318" s="1" t="str">
        <f t="shared" si="16"/>
        <v/>
      </c>
      <c r="G318" s="1" t="str">
        <f t="shared" si="17"/>
        <v/>
      </c>
      <c r="H318" s="1" t="str">
        <f t="shared" si="18"/>
        <v/>
      </c>
      <c r="I318" s="1" t="str">
        <f>IF($L318="","",INDEX(Ref_AccountRules,$L318,3))</f>
        <v/>
      </c>
      <c r="J318" s="1" t="str">
        <f>IF($L318="","",INDEX(Ref_AccountRules,$L318,4))</f>
        <v/>
      </c>
      <c r="K318" s="1" t="str">
        <f>IF($L318="","",INDEX(Ref_AccountRules,$L318,5))</f>
        <v/>
      </c>
      <c r="L318" s="1" t="str">
        <f t="shared" si="19"/>
        <v/>
      </c>
    </row>
    <row r="319" spans="2:12" x14ac:dyDescent="0.35">
      <c r="B319" s="12"/>
      <c r="C319" s="11"/>
      <c r="D319" s="11"/>
      <c r="E319" s="11"/>
      <c r="F319" s="1" t="str">
        <f t="shared" si="16"/>
        <v/>
      </c>
      <c r="G319" s="1" t="str">
        <f t="shared" si="17"/>
        <v/>
      </c>
      <c r="H319" s="1" t="str">
        <f t="shared" si="18"/>
        <v/>
      </c>
      <c r="I319" s="1" t="str">
        <f>IF($L319="","",INDEX(Ref_AccountRules,$L319,3))</f>
        <v/>
      </c>
      <c r="J319" s="1" t="str">
        <f>IF($L319="","",INDEX(Ref_AccountRules,$L319,4))</f>
        <v/>
      </c>
      <c r="K319" s="1" t="str">
        <f>IF($L319="","",INDEX(Ref_AccountRules,$L319,5))</f>
        <v/>
      </c>
      <c r="L319" s="1" t="str">
        <f t="shared" si="19"/>
        <v/>
      </c>
    </row>
    <row r="320" spans="2:12" x14ac:dyDescent="0.35">
      <c r="B320" s="12"/>
      <c r="C320" s="11"/>
      <c r="D320" s="11"/>
      <c r="E320" s="11"/>
      <c r="F320" s="1" t="str">
        <f t="shared" si="16"/>
        <v/>
      </c>
      <c r="G320" s="1" t="str">
        <f t="shared" si="17"/>
        <v/>
      </c>
      <c r="H320" s="1" t="str">
        <f t="shared" si="18"/>
        <v/>
      </c>
      <c r="I320" s="1" t="str">
        <f>IF($L320="","",INDEX(Ref_AccountRules,$L320,3))</f>
        <v/>
      </c>
      <c r="J320" s="1" t="str">
        <f>IF($L320="","",INDEX(Ref_AccountRules,$L320,4))</f>
        <v/>
      </c>
      <c r="K320" s="1" t="str">
        <f>IF($L320="","",INDEX(Ref_AccountRules,$L320,5))</f>
        <v/>
      </c>
      <c r="L320" s="1" t="str">
        <f t="shared" si="19"/>
        <v/>
      </c>
    </row>
    <row r="321" spans="2:12" x14ac:dyDescent="0.35">
      <c r="B321" s="12"/>
      <c r="C321" s="11"/>
      <c r="D321" s="11"/>
      <c r="E321" s="11"/>
      <c r="F321" s="1" t="str">
        <f t="shared" si="16"/>
        <v/>
      </c>
      <c r="G321" s="1" t="str">
        <f t="shared" si="17"/>
        <v/>
      </c>
      <c r="H321" s="1" t="str">
        <f t="shared" si="18"/>
        <v/>
      </c>
      <c r="I321" s="1" t="str">
        <f>IF($L321="","",INDEX(Ref_AccountRules,$L321,3))</f>
        <v/>
      </c>
      <c r="J321" s="1" t="str">
        <f>IF($L321="","",INDEX(Ref_AccountRules,$L321,4))</f>
        <v/>
      </c>
      <c r="K321" s="1" t="str">
        <f>IF($L321="","",INDEX(Ref_AccountRules,$L321,5))</f>
        <v/>
      </c>
      <c r="L321" s="1" t="str">
        <f t="shared" si="19"/>
        <v/>
      </c>
    </row>
    <row r="322" spans="2:12" x14ac:dyDescent="0.35">
      <c r="B322" s="12"/>
      <c r="C322" s="11"/>
      <c r="D322" s="11"/>
      <c r="E322" s="11"/>
      <c r="F322" s="1" t="str">
        <f t="shared" si="16"/>
        <v/>
      </c>
      <c r="G322" s="1" t="str">
        <f t="shared" si="17"/>
        <v/>
      </c>
      <c r="H322" s="1" t="str">
        <f t="shared" si="18"/>
        <v/>
      </c>
      <c r="I322" s="1" t="str">
        <f>IF($L322="","",INDEX(Ref_AccountRules,$L322,3))</f>
        <v/>
      </c>
      <c r="J322" s="1" t="str">
        <f>IF($L322="","",INDEX(Ref_AccountRules,$L322,4))</f>
        <v/>
      </c>
      <c r="K322" s="1" t="str">
        <f>IF($L322="","",INDEX(Ref_AccountRules,$L322,5))</f>
        <v/>
      </c>
      <c r="L322" s="1" t="str">
        <f t="shared" si="19"/>
        <v/>
      </c>
    </row>
    <row r="323" spans="2:12" x14ac:dyDescent="0.35">
      <c r="B323" s="12"/>
      <c r="C323" s="11"/>
      <c r="D323" s="11"/>
      <c r="E323" s="11"/>
      <c r="F323" s="1" t="str">
        <f t="shared" si="16"/>
        <v/>
      </c>
      <c r="G323" s="1" t="str">
        <f t="shared" si="17"/>
        <v/>
      </c>
      <c r="H323" s="1" t="str">
        <f t="shared" si="18"/>
        <v/>
      </c>
      <c r="I323" s="1" t="str">
        <f>IF($L323="","",INDEX(Ref_AccountRules,$L323,3))</f>
        <v/>
      </c>
      <c r="J323" s="1" t="str">
        <f>IF($L323="","",INDEX(Ref_AccountRules,$L323,4))</f>
        <v/>
      </c>
      <c r="K323" s="1" t="str">
        <f>IF($L323="","",INDEX(Ref_AccountRules,$L323,5))</f>
        <v/>
      </c>
      <c r="L323" s="1" t="str">
        <f t="shared" si="19"/>
        <v/>
      </c>
    </row>
    <row r="324" spans="2:12" x14ac:dyDescent="0.35">
      <c r="B324" s="12"/>
      <c r="C324" s="11"/>
      <c r="D324" s="11"/>
      <c r="E324" s="11"/>
      <c r="F324" s="1" t="str">
        <f t="shared" si="16"/>
        <v/>
      </c>
      <c r="G324" s="1" t="str">
        <f t="shared" si="17"/>
        <v/>
      </c>
      <c r="H324" s="1" t="str">
        <f t="shared" si="18"/>
        <v/>
      </c>
      <c r="I324" s="1" t="str">
        <f>IF($L324="","",INDEX(Ref_AccountRules,$L324,3))</f>
        <v/>
      </c>
      <c r="J324" s="1" t="str">
        <f>IF($L324="","",INDEX(Ref_AccountRules,$L324,4))</f>
        <v/>
      </c>
      <c r="K324" s="1" t="str">
        <f>IF($L324="","",INDEX(Ref_AccountRules,$L324,5))</f>
        <v/>
      </c>
      <c r="L324" s="1" t="str">
        <f t="shared" si="19"/>
        <v/>
      </c>
    </row>
    <row r="325" spans="2:12" x14ac:dyDescent="0.35">
      <c r="B325" s="12"/>
      <c r="C325" s="11"/>
      <c r="D325" s="11"/>
      <c r="E325" s="11"/>
      <c r="F325" s="1" t="str">
        <f t="shared" si="16"/>
        <v/>
      </c>
      <c r="G325" s="1" t="str">
        <f t="shared" si="17"/>
        <v/>
      </c>
      <c r="H325" s="1" t="str">
        <f t="shared" si="18"/>
        <v/>
      </c>
      <c r="I325" s="1" t="str">
        <f>IF($L325="","",INDEX(Ref_AccountRules,$L325,3))</f>
        <v/>
      </c>
      <c r="J325" s="1" t="str">
        <f>IF($L325="","",INDEX(Ref_AccountRules,$L325,4))</f>
        <v/>
      </c>
      <c r="K325" s="1" t="str">
        <f>IF($L325="","",INDEX(Ref_AccountRules,$L325,5))</f>
        <v/>
      </c>
      <c r="L325" s="1" t="str">
        <f t="shared" si="19"/>
        <v/>
      </c>
    </row>
    <row r="326" spans="2:12" x14ac:dyDescent="0.35">
      <c r="B326" s="12"/>
      <c r="C326" s="11"/>
      <c r="D326" s="11"/>
      <c r="E326" s="11"/>
      <c r="F326" s="1" t="str">
        <f t="shared" si="16"/>
        <v/>
      </c>
      <c r="G326" s="1" t="str">
        <f t="shared" si="17"/>
        <v/>
      </c>
      <c r="H326" s="1" t="str">
        <f t="shared" si="18"/>
        <v/>
      </c>
      <c r="I326" s="1" t="str">
        <f>IF($L326="","",INDEX(Ref_AccountRules,$L326,3))</f>
        <v/>
      </c>
      <c r="J326" s="1" t="str">
        <f>IF($L326="","",INDEX(Ref_AccountRules,$L326,4))</f>
        <v/>
      </c>
      <c r="K326" s="1" t="str">
        <f>IF($L326="","",INDEX(Ref_AccountRules,$L326,5))</f>
        <v/>
      </c>
      <c r="L326" s="1" t="str">
        <f t="shared" si="19"/>
        <v/>
      </c>
    </row>
    <row r="327" spans="2:12" x14ac:dyDescent="0.35">
      <c r="B327" s="12"/>
      <c r="C327" s="11"/>
      <c r="D327" s="11"/>
      <c r="E327" s="11"/>
      <c r="F327" s="1" t="str">
        <f t="shared" si="16"/>
        <v/>
      </c>
      <c r="G327" s="1" t="str">
        <f t="shared" si="17"/>
        <v/>
      </c>
      <c r="H327" s="1" t="str">
        <f t="shared" si="18"/>
        <v/>
      </c>
      <c r="I327" s="1" t="str">
        <f>IF($L327="","",INDEX(Ref_AccountRules,$L327,3))</f>
        <v/>
      </c>
      <c r="J327" s="1" t="str">
        <f>IF($L327="","",INDEX(Ref_AccountRules,$L327,4))</f>
        <v/>
      </c>
      <c r="K327" s="1" t="str">
        <f>IF($L327="","",INDEX(Ref_AccountRules,$L327,5))</f>
        <v/>
      </c>
      <c r="L327" s="1" t="str">
        <f t="shared" si="19"/>
        <v/>
      </c>
    </row>
    <row r="328" spans="2:12" x14ac:dyDescent="0.35">
      <c r="B328" s="12"/>
      <c r="C328" s="11"/>
      <c r="D328" s="11"/>
      <c r="E328" s="11"/>
      <c r="F328" s="1" t="str">
        <f t="shared" si="16"/>
        <v/>
      </c>
      <c r="G328" s="1" t="str">
        <f t="shared" si="17"/>
        <v/>
      </c>
      <c r="H328" s="1" t="str">
        <f t="shared" si="18"/>
        <v/>
      </c>
      <c r="I328" s="1" t="str">
        <f>IF($L328="","",INDEX(Ref_AccountRules,$L328,3))</f>
        <v/>
      </c>
      <c r="J328" s="1" t="str">
        <f>IF($L328="","",INDEX(Ref_AccountRules,$L328,4))</f>
        <v/>
      </c>
      <c r="K328" s="1" t="str">
        <f>IF($L328="","",INDEX(Ref_AccountRules,$L328,5))</f>
        <v/>
      </c>
      <c r="L328" s="1" t="str">
        <f t="shared" si="19"/>
        <v/>
      </c>
    </row>
    <row r="329" spans="2:12" x14ac:dyDescent="0.35">
      <c r="B329" s="12"/>
      <c r="C329" s="11"/>
      <c r="D329" s="11"/>
      <c r="E329" s="11"/>
      <c r="F329" s="1" t="str">
        <f t="shared" si="16"/>
        <v/>
      </c>
      <c r="G329" s="1" t="str">
        <f t="shared" si="17"/>
        <v/>
      </c>
      <c r="H329" s="1" t="str">
        <f t="shared" si="18"/>
        <v/>
      </c>
      <c r="I329" s="1" t="str">
        <f>IF($L329="","",INDEX(Ref_AccountRules,$L329,3))</f>
        <v/>
      </c>
      <c r="J329" s="1" t="str">
        <f>IF($L329="","",INDEX(Ref_AccountRules,$L329,4))</f>
        <v/>
      </c>
      <c r="K329" s="1" t="str">
        <f>IF($L329="","",INDEX(Ref_AccountRules,$L329,5))</f>
        <v/>
      </c>
      <c r="L329" s="1" t="str">
        <f t="shared" si="19"/>
        <v/>
      </c>
    </row>
    <row r="330" spans="2:12" x14ac:dyDescent="0.35">
      <c r="B330" s="12"/>
      <c r="C330" s="11"/>
      <c r="D330" s="11"/>
      <c r="E330" s="11"/>
      <c r="F330" s="1" t="str">
        <f t="shared" si="16"/>
        <v/>
      </c>
      <c r="G330" s="1" t="str">
        <f t="shared" si="17"/>
        <v/>
      </c>
      <c r="H330" s="1" t="str">
        <f t="shared" si="18"/>
        <v/>
      </c>
      <c r="I330" s="1" t="str">
        <f>IF($L330="","",INDEX(Ref_AccountRules,$L330,3))</f>
        <v/>
      </c>
      <c r="J330" s="1" t="str">
        <f>IF($L330="","",INDEX(Ref_AccountRules,$L330,4))</f>
        <v/>
      </c>
      <c r="K330" s="1" t="str">
        <f>IF($L330="","",INDEX(Ref_AccountRules,$L330,5))</f>
        <v/>
      </c>
      <c r="L330" s="1" t="str">
        <f t="shared" si="19"/>
        <v/>
      </c>
    </row>
    <row r="331" spans="2:12" x14ac:dyDescent="0.35">
      <c r="B331" s="12"/>
      <c r="C331" s="11"/>
      <c r="D331" s="11"/>
      <c r="E331" s="11"/>
      <c r="F331" s="1" t="str">
        <f t="shared" ref="F331:F394" si="20">IF($B331="","",E331-D331)</f>
        <v/>
      </c>
      <c r="G331" s="1" t="str">
        <f t="shared" ref="G331:G394" si="21">IF($B331="","",IF(D331=0,0,(E331-D331)/ABS(D331)*100))</f>
        <v/>
      </c>
      <c r="H331" s="1" t="str">
        <f t="shared" ref="H331:H394" si="22">IF($B331="","",IF(LEFT($B331,6)="606880","emballages",IF(LEFT($B331,4)="6068","emballages",IF(LEFT($B331,3)="606","energie_dechets",IF(LEFT($B331,3)="164","tresorerie_financement",IF(LEFT($B331,2)="20","immobilisations",IF(LEFT($B331,2)="21","immobilisations",IF(LEFT($B331,2)="22","immobilisations",IF(LEFT($B331,2)="23","immobilisations",IF(LEFT($B331,2)="28","immobilisations",IF(LEFT($B331,2)="40","fournisseurs",IF(LEFT($B331,2)="41","clients",IF(LEFT($B331,2)="32","stocks",IF(LEFT($B331,2)="60","charges",IF(LEFT($B331,2)="61","services",IF(LEFT($B331,2)="62","personnel",IF(LEFT($B331,2)="63","fiscal",IF(LEFT($B331,2)="64","financier","autres"))))))))))))))))))</f>
        <v/>
      </c>
      <c r="I331" s="1" t="str">
        <f>IF($L331="","",INDEX(Ref_AccountRules,$L331,3))</f>
        <v/>
      </c>
      <c r="J331" s="1" t="str">
        <f>IF($L331="","",INDEX(Ref_AccountRules,$L331,4))</f>
        <v/>
      </c>
      <c r="K331" s="1" t="str">
        <f>IF($L331="","",INDEX(Ref_AccountRules,$L331,5))</f>
        <v/>
      </c>
      <c r="L331" s="1" t="str">
        <f t="shared" ref="L331:L394" si="23">IF($B331="","",IF(LEFT($B331,3)="215",1,IF(LEFT($B331,4)="2183",2,IF(LEFT($B331,3)="401",3,IF(LEFT($B331,3)="411",4,IF(LEFT($B331,3)="322",5,IF(LEFT($B331,4)="3220",6,IF(LEFT($B331,5)="32200",7,IF(LEFT($B331,3)="625",8,IF(LEFT($B331,3)="606",9,IF(LEFT($B331,3)="164",10,IF(LEFT($B331,6)="606880",11,""))))))))))))</f>
        <v/>
      </c>
    </row>
    <row r="332" spans="2:12" x14ac:dyDescent="0.35">
      <c r="B332" s="12"/>
      <c r="C332" s="11"/>
      <c r="D332" s="11"/>
      <c r="E332" s="11"/>
      <c r="F332" s="1" t="str">
        <f t="shared" si="20"/>
        <v/>
      </c>
      <c r="G332" s="1" t="str">
        <f t="shared" si="21"/>
        <v/>
      </c>
      <c r="H332" s="1" t="str">
        <f t="shared" si="22"/>
        <v/>
      </c>
      <c r="I332" s="1" t="str">
        <f>IF($L332="","",INDEX(Ref_AccountRules,$L332,3))</f>
        <v/>
      </c>
      <c r="J332" s="1" t="str">
        <f>IF($L332="","",INDEX(Ref_AccountRules,$L332,4))</f>
        <v/>
      </c>
      <c r="K332" s="1" t="str">
        <f>IF($L332="","",INDEX(Ref_AccountRules,$L332,5))</f>
        <v/>
      </c>
      <c r="L332" s="1" t="str">
        <f t="shared" si="23"/>
        <v/>
      </c>
    </row>
    <row r="333" spans="2:12" x14ac:dyDescent="0.35">
      <c r="B333" s="12"/>
      <c r="C333" s="11"/>
      <c r="D333" s="11"/>
      <c r="E333" s="11"/>
      <c r="F333" s="1" t="str">
        <f t="shared" si="20"/>
        <v/>
      </c>
      <c r="G333" s="1" t="str">
        <f t="shared" si="21"/>
        <v/>
      </c>
      <c r="H333" s="1" t="str">
        <f t="shared" si="22"/>
        <v/>
      </c>
      <c r="I333" s="1" t="str">
        <f>IF($L333="","",INDEX(Ref_AccountRules,$L333,3))</f>
        <v/>
      </c>
      <c r="J333" s="1" t="str">
        <f>IF($L333="","",INDEX(Ref_AccountRules,$L333,4))</f>
        <v/>
      </c>
      <c r="K333" s="1" t="str">
        <f>IF($L333="","",INDEX(Ref_AccountRules,$L333,5))</f>
        <v/>
      </c>
      <c r="L333" s="1" t="str">
        <f t="shared" si="23"/>
        <v/>
      </c>
    </row>
    <row r="334" spans="2:12" x14ac:dyDescent="0.35">
      <c r="B334" s="12"/>
      <c r="C334" s="11"/>
      <c r="D334" s="11"/>
      <c r="E334" s="11"/>
      <c r="F334" s="1" t="str">
        <f t="shared" si="20"/>
        <v/>
      </c>
      <c r="G334" s="1" t="str">
        <f t="shared" si="21"/>
        <v/>
      </c>
      <c r="H334" s="1" t="str">
        <f t="shared" si="22"/>
        <v/>
      </c>
      <c r="I334" s="1" t="str">
        <f>IF($L334="","",INDEX(Ref_AccountRules,$L334,3))</f>
        <v/>
      </c>
      <c r="J334" s="1" t="str">
        <f>IF($L334="","",INDEX(Ref_AccountRules,$L334,4))</f>
        <v/>
      </c>
      <c r="K334" s="1" t="str">
        <f>IF($L334="","",INDEX(Ref_AccountRules,$L334,5))</f>
        <v/>
      </c>
      <c r="L334" s="1" t="str">
        <f t="shared" si="23"/>
        <v/>
      </c>
    </row>
    <row r="335" spans="2:12" x14ac:dyDescent="0.35">
      <c r="B335" s="12"/>
      <c r="C335" s="11"/>
      <c r="D335" s="11"/>
      <c r="E335" s="11"/>
      <c r="F335" s="1" t="str">
        <f t="shared" si="20"/>
        <v/>
      </c>
      <c r="G335" s="1" t="str">
        <f t="shared" si="21"/>
        <v/>
      </c>
      <c r="H335" s="1" t="str">
        <f t="shared" si="22"/>
        <v/>
      </c>
      <c r="I335" s="1" t="str">
        <f>IF($L335="","",INDEX(Ref_AccountRules,$L335,3))</f>
        <v/>
      </c>
      <c r="J335" s="1" t="str">
        <f>IF($L335="","",INDEX(Ref_AccountRules,$L335,4))</f>
        <v/>
      </c>
      <c r="K335" s="1" t="str">
        <f>IF($L335="","",INDEX(Ref_AccountRules,$L335,5))</f>
        <v/>
      </c>
      <c r="L335" s="1" t="str">
        <f t="shared" si="23"/>
        <v/>
      </c>
    </row>
    <row r="336" spans="2:12" x14ac:dyDescent="0.35">
      <c r="B336" s="12"/>
      <c r="C336" s="11"/>
      <c r="D336" s="11"/>
      <c r="E336" s="11"/>
      <c r="F336" s="1" t="str">
        <f t="shared" si="20"/>
        <v/>
      </c>
      <c r="G336" s="1" t="str">
        <f t="shared" si="21"/>
        <v/>
      </c>
      <c r="H336" s="1" t="str">
        <f t="shared" si="22"/>
        <v/>
      </c>
      <c r="I336" s="1" t="str">
        <f>IF($L336="","",INDEX(Ref_AccountRules,$L336,3))</f>
        <v/>
      </c>
      <c r="J336" s="1" t="str">
        <f>IF($L336="","",INDEX(Ref_AccountRules,$L336,4))</f>
        <v/>
      </c>
      <c r="K336" s="1" t="str">
        <f>IF($L336="","",INDEX(Ref_AccountRules,$L336,5))</f>
        <v/>
      </c>
      <c r="L336" s="1" t="str">
        <f t="shared" si="23"/>
        <v/>
      </c>
    </row>
    <row r="337" spans="2:12" x14ac:dyDescent="0.35">
      <c r="B337" s="12"/>
      <c r="C337" s="11"/>
      <c r="D337" s="11"/>
      <c r="E337" s="11"/>
      <c r="F337" s="1" t="str">
        <f t="shared" si="20"/>
        <v/>
      </c>
      <c r="G337" s="1" t="str">
        <f t="shared" si="21"/>
        <v/>
      </c>
      <c r="H337" s="1" t="str">
        <f t="shared" si="22"/>
        <v/>
      </c>
      <c r="I337" s="1" t="str">
        <f>IF($L337="","",INDEX(Ref_AccountRules,$L337,3))</f>
        <v/>
      </c>
      <c r="J337" s="1" t="str">
        <f>IF($L337="","",INDEX(Ref_AccountRules,$L337,4))</f>
        <v/>
      </c>
      <c r="K337" s="1" t="str">
        <f>IF($L337="","",INDEX(Ref_AccountRules,$L337,5))</f>
        <v/>
      </c>
      <c r="L337" s="1" t="str">
        <f t="shared" si="23"/>
        <v/>
      </c>
    </row>
    <row r="338" spans="2:12" x14ac:dyDescent="0.35">
      <c r="B338" s="12"/>
      <c r="C338" s="11"/>
      <c r="D338" s="11"/>
      <c r="E338" s="11"/>
      <c r="F338" s="1" t="str">
        <f t="shared" si="20"/>
        <v/>
      </c>
      <c r="G338" s="1" t="str">
        <f t="shared" si="21"/>
        <v/>
      </c>
      <c r="H338" s="1" t="str">
        <f t="shared" si="22"/>
        <v/>
      </c>
      <c r="I338" s="1" t="str">
        <f>IF($L338="","",INDEX(Ref_AccountRules,$L338,3))</f>
        <v/>
      </c>
      <c r="J338" s="1" t="str">
        <f>IF($L338="","",INDEX(Ref_AccountRules,$L338,4))</f>
        <v/>
      </c>
      <c r="K338" s="1" t="str">
        <f>IF($L338="","",INDEX(Ref_AccountRules,$L338,5))</f>
        <v/>
      </c>
      <c r="L338" s="1" t="str">
        <f t="shared" si="23"/>
        <v/>
      </c>
    </row>
    <row r="339" spans="2:12" x14ac:dyDescent="0.35">
      <c r="B339" s="12"/>
      <c r="C339" s="11"/>
      <c r="D339" s="11"/>
      <c r="E339" s="11"/>
      <c r="F339" s="1" t="str">
        <f t="shared" si="20"/>
        <v/>
      </c>
      <c r="G339" s="1" t="str">
        <f t="shared" si="21"/>
        <v/>
      </c>
      <c r="H339" s="1" t="str">
        <f t="shared" si="22"/>
        <v/>
      </c>
      <c r="I339" s="1" t="str">
        <f>IF($L339="","",INDEX(Ref_AccountRules,$L339,3))</f>
        <v/>
      </c>
      <c r="J339" s="1" t="str">
        <f>IF($L339="","",INDEX(Ref_AccountRules,$L339,4))</f>
        <v/>
      </c>
      <c r="K339" s="1" t="str">
        <f>IF($L339="","",INDEX(Ref_AccountRules,$L339,5))</f>
        <v/>
      </c>
      <c r="L339" s="1" t="str">
        <f t="shared" si="23"/>
        <v/>
      </c>
    </row>
    <row r="340" spans="2:12" x14ac:dyDescent="0.35">
      <c r="B340" s="12"/>
      <c r="C340" s="11"/>
      <c r="D340" s="11"/>
      <c r="E340" s="11"/>
      <c r="F340" s="1" t="str">
        <f t="shared" si="20"/>
        <v/>
      </c>
      <c r="G340" s="1" t="str">
        <f t="shared" si="21"/>
        <v/>
      </c>
      <c r="H340" s="1" t="str">
        <f t="shared" si="22"/>
        <v/>
      </c>
      <c r="I340" s="1" t="str">
        <f>IF($L340="","",INDEX(Ref_AccountRules,$L340,3))</f>
        <v/>
      </c>
      <c r="J340" s="1" t="str">
        <f>IF($L340="","",INDEX(Ref_AccountRules,$L340,4))</f>
        <v/>
      </c>
      <c r="K340" s="1" t="str">
        <f>IF($L340="","",INDEX(Ref_AccountRules,$L340,5))</f>
        <v/>
      </c>
      <c r="L340" s="1" t="str">
        <f t="shared" si="23"/>
        <v/>
      </c>
    </row>
    <row r="341" spans="2:12" x14ac:dyDescent="0.35">
      <c r="B341" s="12"/>
      <c r="C341" s="11"/>
      <c r="D341" s="11"/>
      <c r="E341" s="11"/>
      <c r="F341" s="1" t="str">
        <f t="shared" si="20"/>
        <v/>
      </c>
      <c r="G341" s="1" t="str">
        <f t="shared" si="21"/>
        <v/>
      </c>
      <c r="H341" s="1" t="str">
        <f t="shared" si="22"/>
        <v/>
      </c>
      <c r="I341" s="1" t="str">
        <f>IF($L341="","",INDEX(Ref_AccountRules,$L341,3))</f>
        <v/>
      </c>
      <c r="J341" s="1" t="str">
        <f>IF($L341="","",INDEX(Ref_AccountRules,$L341,4))</f>
        <v/>
      </c>
      <c r="K341" s="1" t="str">
        <f>IF($L341="","",INDEX(Ref_AccountRules,$L341,5))</f>
        <v/>
      </c>
      <c r="L341" s="1" t="str">
        <f t="shared" si="23"/>
        <v/>
      </c>
    </row>
    <row r="342" spans="2:12" x14ac:dyDescent="0.35">
      <c r="B342" s="12"/>
      <c r="C342" s="11"/>
      <c r="D342" s="11"/>
      <c r="E342" s="11"/>
      <c r="F342" s="1" t="str">
        <f t="shared" si="20"/>
        <v/>
      </c>
      <c r="G342" s="1" t="str">
        <f t="shared" si="21"/>
        <v/>
      </c>
      <c r="H342" s="1" t="str">
        <f t="shared" si="22"/>
        <v/>
      </c>
      <c r="I342" s="1" t="str">
        <f>IF($L342="","",INDEX(Ref_AccountRules,$L342,3))</f>
        <v/>
      </c>
      <c r="J342" s="1" t="str">
        <f>IF($L342="","",INDEX(Ref_AccountRules,$L342,4))</f>
        <v/>
      </c>
      <c r="K342" s="1" t="str">
        <f>IF($L342="","",INDEX(Ref_AccountRules,$L342,5))</f>
        <v/>
      </c>
      <c r="L342" s="1" t="str">
        <f t="shared" si="23"/>
        <v/>
      </c>
    </row>
    <row r="343" spans="2:12" x14ac:dyDescent="0.35">
      <c r="B343" s="12"/>
      <c r="C343" s="11"/>
      <c r="D343" s="11"/>
      <c r="E343" s="11"/>
      <c r="F343" s="1" t="str">
        <f t="shared" si="20"/>
        <v/>
      </c>
      <c r="G343" s="1" t="str">
        <f t="shared" si="21"/>
        <v/>
      </c>
      <c r="H343" s="1" t="str">
        <f t="shared" si="22"/>
        <v/>
      </c>
      <c r="I343" s="1" t="str">
        <f>IF($L343="","",INDEX(Ref_AccountRules,$L343,3))</f>
        <v/>
      </c>
      <c r="J343" s="1" t="str">
        <f>IF($L343="","",INDEX(Ref_AccountRules,$L343,4))</f>
        <v/>
      </c>
      <c r="K343" s="1" t="str">
        <f>IF($L343="","",INDEX(Ref_AccountRules,$L343,5))</f>
        <v/>
      </c>
      <c r="L343" s="1" t="str">
        <f t="shared" si="23"/>
        <v/>
      </c>
    </row>
    <row r="344" spans="2:12" x14ac:dyDescent="0.35">
      <c r="B344" s="12"/>
      <c r="C344" s="11"/>
      <c r="D344" s="11"/>
      <c r="E344" s="11"/>
      <c r="F344" s="1" t="str">
        <f t="shared" si="20"/>
        <v/>
      </c>
      <c r="G344" s="1" t="str">
        <f t="shared" si="21"/>
        <v/>
      </c>
      <c r="H344" s="1" t="str">
        <f t="shared" si="22"/>
        <v/>
      </c>
      <c r="I344" s="1" t="str">
        <f>IF($L344="","",INDEX(Ref_AccountRules,$L344,3))</f>
        <v/>
      </c>
      <c r="J344" s="1" t="str">
        <f>IF($L344="","",INDEX(Ref_AccountRules,$L344,4))</f>
        <v/>
      </c>
      <c r="K344" s="1" t="str">
        <f>IF($L344="","",INDEX(Ref_AccountRules,$L344,5))</f>
        <v/>
      </c>
      <c r="L344" s="1" t="str">
        <f t="shared" si="23"/>
        <v/>
      </c>
    </row>
    <row r="345" spans="2:12" x14ac:dyDescent="0.35">
      <c r="B345" s="12"/>
      <c r="C345" s="11"/>
      <c r="D345" s="11"/>
      <c r="E345" s="11"/>
      <c r="F345" s="1" t="str">
        <f t="shared" si="20"/>
        <v/>
      </c>
      <c r="G345" s="1" t="str">
        <f t="shared" si="21"/>
        <v/>
      </c>
      <c r="H345" s="1" t="str">
        <f t="shared" si="22"/>
        <v/>
      </c>
      <c r="I345" s="1" t="str">
        <f>IF($L345="","",INDEX(Ref_AccountRules,$L345,3))</f>
        <v/>
      </c>
      <c r="J345" s="1" t="str">
        <f>IF($L345="","",INDEX(Ref_AccountRules,$L345,4))</f>
        <v/>
      </c>
      <c r="K345" s="1" t="str">
        <f>IF($L345="","",INDEX(Ref_AccountRules,$L345,5))</f>
        <v/>
      </c>
      <c r="L345" s="1" t="str">
        <f t="shared" si="23"/>
        <v/>
      </c>
    </row>
    <row r="346" spans="2:12" x14ac:dyDescent="0.35">
      <c r="B346" s="12"/>
      <c r="C346" s="11"/>
      <c r="D346" s="11"/>
      <c r="E346" s="11"/>
      <c r="F346" s="1" t="str">
        <f t="shared" si="20"/>
        <v/>
      </c>
      <c r="G346" s="1" t="str">
        <f t="shared" si="21"/>
        <v/>
      </c>
      <c r="H346" s="1" t="str">
        <f t="shared" si="22"/>
        <v/>
      </c>
      <c r="I346" s="1" t="str">
        <f>IF($L346="","",INDEX(Ref_AccountRules,$L346,3))</f>
        <v/>
      </c>
      <c r="J346" s="1" t="str">
        <f>IF($L346="","",INDEX(Ref_AccountRules,$L346,4))</f>
        <v/>
      </c>
      <c r="K346" s="1" t="str">
        <f>IF($L346="","",INDEX(Ref_AccountRules,$L346,5))</f>
        <v/>
      </c>
      <c r="L346" s="1" t="str">
        <f t="shared" si="23"/>
        <v/>
      </c>
    </row>
    <row r="347" spans="2:12" x14ac:dyDescent="0.35">
      <c r="B347" s="12"/>
      <c r="C347" s="11"/>
      <c r="D347" s="11"/>
      <c r="E347" s="11"/>
      <c r="F347" s="1" t="str">
        <f t="shared" si="20"/>
        <v/>
      </c>
      <c r="G347" s="1" t="str">
        <f t="shared" si="21"/>
        <v/>
      </c>
      <c r="H347" s="1" t="str">
        <f t="shared" si="22"/>
        <v/>
      </c>
      <c r="I347" s="1" t="str">
        <f>IF($L347="","",INDEX(Ref_AccountRules,$L347,3))</f>
        <v/>
      </c>
      <c r="J347" s="1" t="str">
        <f>IF($L347="","",INDEX(Ref_AccountRules,$L347,4))</f>
        <v/>
      </c>
      <c r="K347" s="1" t="str">
        <f>IF($L347="","",INDEX(Ref_AccountRules,$L347,5))</f>
        <v/>
      </c>
      <c r="L347" s="1" t="str">
        <f t="shared" si="23"/>
        <v/>
      </c>
    </row>
    <row r="348" spans="2:12" x14ac:dyDescent="0.35">
      <c r="B348" s="12"/>
      <c r="C348" s="11"/>
      <c r="D348" s="11"/>
      <c r="E348" s="11"/>
      <c r="F348" s="1" t="str">
        <f t="shared" si="20"/>
        <v/>
      </c>
      <c r="G348" s="1" t="str">
        <f t="shared" si="21"/>
        <v/>
      </c>
      <c r="H348" s="1" t="str">
        <f t="shared" si="22"/>
        <v/>
      </c>
      <c r="I348" s="1" t="str">
        <f>IF($L348="","",INDEX(Ref_AccountRules,$L348,3))</f>
        <v/>
      </c>
      <c r="J348" s="1" t="str">
        <f>IF($L348="","",INDEX(Ref_AccountRules,$L348,4))</f>
        <v/>
      </c>
      <c r="K348" s="1" t="str">
        <f>IF($L348="","",INDEX(Ref_AccountRules,$L348,5))</f>
        <v/>
      </c>
      <c r="L348" s="1" t="str">
        <f t="shared" si="23"/>
        <v/>
      </c>
    </row>
    <row r="349" spans="2:12" x14ac:dyDescent="0.35">
      <c r="B349" s="12"/>
      <c r="C349" s="11"/>
      <c r="D349" s="11"/>
      <c r="E349" s="11"/>
      <c r="F349" s="1" t="str">
        <f t="shared" si="20"/>
        <v/>
      </c>
      <c r="G349" s="1" t="str">
        <f t="shared" si="21"/>
        <v/>
      </c>
      <c r="H349" s="1" t="str">
        <f t="shared" si="22"/>
        <v/>
      </c>
      <c r="I349" s="1" t="str">
        <f>IF($L349="","",INDEX(Ref_AccountRules,$L349,3))</f>
        <v/>
      </c>
      <c r="J349" s="1" t="str">
        <f>IF($L349="","",INDEX(Ref_AccountRules,$L349,4))</f>
        <v/>
      </c>
      <c r="K349" s="1" t="str">
        <f>IF($L349="","",INDEX(Ref_AccountRules,$L349,5))</f>
        <v/>
      </c>
      <c r="L349" s="1" t="str">
        <f t="shared" si="23"/>
        <v/>
      </c>
    </row>
    <row r="350" spans="2:12" x14ac:dyDescent="0.35">
      <c r="B350" s="12"/>
      <c r="C350" s="11"/>
      <c r="D350" s="11"/>
      <c r="E350" s="11"/>
      <c r="F350" s="1" t="str">
        <f t="shared" si="20"/>
        <v/>
      </c>
      <c r="G350" s="1" t="str">
        <f t="shared" si="21"/>
        <v/>
      </c>
      <c r="H350" s="1" t="str">
        <f t="shared" si="22"/>
        <v/>
      </c>
      <c r="I350" s="1" t="str">
        <f>IF($L350="","",INDEX(Ref_AccountRules,$L350,3))</f>
        <v/>
      </c>
      <c r="J350" s="1" t="str">
        <f>IF($L350="","",INDEX(Ref_AccountRules,$L350,4))</f>
        <v/>
      </c>
      <c r="K350" s="1" t="str">
        <f>IF($L350="","",INDEX(Ref_AccountRules,$L350,5))</f>
        <v/>
      </c>
      <c r="L350" s="1" t="str">
        <f t="shared" si="23"/>
        <v/>
      </c>
    </row>
    <row r="351" spans="2:12" x14ac:dyDescent="0.35">
      <c r="B351" s="12"/>
      <c r="C351" s="11"/>
      <c r="D351" s="11"/>
      <c r="E351" s="11"/>
      <c r="F351" s="1" t="str">
        <f t="shared" si="20"/>
        <v/>
      </c>
      <c r="G351" s="1" t="str">
        <f t="shared" si="21"/>
        <v/>
      </c>
      <c r="H351" s="1" t="str">
        <f t="shared" si="22"/>
        <v/>
      </c>
      <c r="I351" s="1" t="str">
        <f>IF($L351="","",INDEX(Ref_AccountRules,$L351,3))</f>
        <v/>
      </c>
      <c r="J351" s="1" t="str">
        <f>IF($L351="","",INDEX(Ref_AccountRules,$L351,4))</f>
        <v/>
      </c>
      <c r="K351" s="1" t="str">
        <f>IF($L351="","",INDEX(Ref_AccountRules,$L351,5))</f>
        <v/>
      </c>
      <c r="L351" s="1" t="str">
        <f t="shared" si="23"/>
        <v/>
      </c>
    </row>
    <row r="352" spans="2:12" x14ac:dyDescent="0.35">
      <c r="B352" s="12"/>
      <c r="C352" s="11"/>
      <c r="D352" s="11"/>
      <c r="E352" s="11"/>
      <c r="F352" s="1" t="str">
        <f t="shared" si="20"/>
        <v/>
      </c>
      <c r="G352" s="1" t="str">
        <f t="shared" si="21"/>
        <v/>
      </c>
      <c r="H352" s="1" t="str">
        <f t="shared" si="22"/>
        <v/>
      </c>
      <c r="I352" s="1" t="str">
        <f>IF($L352="","",INDEX(Ref_AccountRules,$L352,3))</f>
        <v/>
      </c>
      <c r="J352" s="1" t="str">
        <f>IF($L352="","",INDEX(Ref_AccountRules,$L352,4))</f>
        <v/>
      </c>
      <c r="K352" s="1" t="str">
        <f>IF($L352="","",INDEX(Ref_AccountRules,$L352,5))</f>
        <v/>
      </c>
      <c r="L352" s="1" t="str">
        <f t="shared" si="23"/>
        <v/>
      </c>
    </row>
    <row r="353" spans="2:12" x14ac:dyDescent="0.35">
      <c r="B353" s="12"/>
      <c r="C353" s="11"/>
      <c r="D353" s="11"/>
      <c r="E353" s="11"/>
      <c r="F353" s="1" t="str">
        <f t="shared" si="20"/>
        <v/>
      </c>
      <c r="G353" s="1" t="str">
        <f t="shared" si="21"/>
        <v/>
      </c>
      <c r="H353" s="1" t="str">
        <f t="shared" si="22"/>
        <v/>
      </c>
      <c r="I353" s="1" t="str">
        <f>IF($L353="","",INDEX(Ref_AccountRules,$L353,3))</f>
        <v/>
      </c>
      <c r="J353" s="1" t="str">
        <f>IF($L353="","",INDEX(Ref_AccountRules,$L353,4))</f>
        <v/>
      </c>
      <c r="K353" s="1" t="str">
        <f>IF($L353="","",INDEX(Ref_AccountRules,$L353,5))</f>
        <v/>
      </c>
      <c r="L353" s="1" t="str">
        <f t="shared" si="23"/>
        <v/>
      </c>
    </row>
    <row r="354" spans="2:12" x14ac:dyDescent="0.35">
      <c r="B354" s="12"/>
      <c r="C354" s="11"/>
      <c r="D354" s="11"/>
      <c r="E354" s="11"/>
      <c r="F354" s="1" t="str">
        <f t="shared" si="20"/>
        <v/>
      </c>
      <c r="G354" s="1" t="str">
        <f t="shared" si="21"/>
        <v/>
      </c>
      <c r="H354" s="1" t="str">
        <f t="shared" si="22"/>
        <v/>
      </c>
      <c r="I354" s="1" t="str">
        <f>IF($L354="","",INDEX(Ref_AccountRules,$L354,3))</f>
        <v/>
      </c>
      <c r="J354" s="1" t="str">
        <f>IF($L354="","",INDEX(Ref_AccountRules,$L354,4))</f>
        <v/>
      </c>
      <c r="K354" s="1" t="str">
        <f>IF($L354="","",INDEX(Ref_AccountRules,$L354,5))</f>
        <v/>
      </c>
      <c r="L354" s="1" t="str">
        <f t="shared" si="23"/>
        <v/>
      </c>
    </row>
    <row r="355" spans="2:12" x14ac:dyDescent="0.35">
      <c r="B355" s="12"/>
      <c r="C355" s="11"/>
      <c r="D355" s="11"/>
      <c r="E355" s="11"/>
      <c r="F355" s="1" t="str">
        <f t="shared" si="20"/>
        <v/>
      </c>
      <c r="G355" s="1" t="str">
        <f t="shared" si="21"/>
        <v/>
      </c>
      <c r="H355" s="1" t="str">
        <f t="shared" si="22"/>
        <v/>
      </c>
      <c r="I355" s="1" t="str">
        <f>IF($L355="","",INDEX(Ref_AccountRules,$L355,3))</f>
        <v/>
      </c>
      <c r="J355" s="1" t="str">
        <f>IF($L355="","",INDEX(Ref_AccountRules,$L355,4))</f>
        <v/>
      </c>
      <c r="K355" s="1" t="str">
        <f>IF($L355="","",INDEX(Ref_AccountRules,$L355,5))</f>
        <v/>
      </c>
      <c r="L355" s="1" t="str">
        <f t="shared" si="23"/>
        <v/>
      </c>
    </row>
    <row r="356" spans="2:12" x14ac:dyDescent="0.35">
      <c r="B356" s="12"/>
      <c r="C356" s="11"/>
      <c r="D356" s="11"/>
      <c r="E356" s="11"/>
      <c r="F356" s="1" t="str">
        <f t="shared" si="20"/>
        <v/>
      </c>
      <c r="G356" s="1" t="str">
        <f t="shared" si="21"/>
        <v/>
      </c>
      <c r="H356" s="1" t="str">
        <f t="shared" si="22"/>
        <v/>
      </c>
      <c r="I356" s="1" t="str">
        <f>IF($L356="","",INDEX(Ref_AccountRules,$L356,3))</f>
        <v/>
      </c>
      <c r="J356" s="1" t="str">
        <f>IF($L356="","",INDEX(Ref_AccountRules,$L356,4))</f>
        <v/>
      </c>
      <c r="K356" s="1" t="str">
        <f>IF($L356="","",INDEX(Ref_AccountRules,$L356,5))</f>
        <v/>
      </c>
      <c r="L356" s="1" t="str">
        <f t="shared" si="23"/>
        <v/>
      </c>
    </row>
    <row r="357" spans="2:12" x14ac:dyDescent="0.35">
      <c r="B357" s="12"/>
      <c r="C357" s="11"/>
      <c r="D357" s="11"/>
      <c r="E357" s="11"/>
      <c r="F357" s="1" t="str">
        <f t="shared" si="20"/>
        <v/>
      </c>
      <c r="G357" s="1" t="str">
        <f t="shared" si="21"/>
        <v/>
      </c>
      <c r="H357" s="1" t="str">
        <f t="shared" si="22"/>
        <v/>
      </c>
      <c r="I357" s="1" t="str">
        <f>IF($L357="","",INDEX(Ref_AccountRules,$L357,3))</f>
        <v/>
      </c>
      <c r="J357" s="1" t="str">
        <f>IF($L357="","",INDEX(Ref_AccountRules,$L357,4))</f>
        <v/>
      </c>
      <c r="K357" s="1" t="str">
        <f>IF($L357="","",INDEX(Ref_AccountRules,$L357,5))</f>
        <v/>
      </c>
      <c r="L357" s="1" t="str">
        <f t="shared" si="23"/>
        <v/>
      </c>
    </row>
    <row r="358" spans="2:12" x14ac:dyDescent="0.35">
      <c r="B358" s="12"/>
      <c r="C358" s="11"/>
      <c r="D358" s="11"/>
      <c r="E358" s="11"/>
      <c r="F358" s="1" t="str">
        <f t="shared" si="20"/>
        <v/>
      </c>
      <c r="G358" s="1" t="str">
        <f t="shared" si="21"/>
        <v/>
      </c>
      <c r="H358" s="1" t="str">
        <f t="shared" si="22"/>
        <v/>
      </c>
      <c r="I358" s="1" t="str">
        <f>IF($L358="","",INDEX(Ref_AccountRules,$L358,3))</f>
        <v/>
      </c>
      <c r="J358" s="1" t="str">
        <f>IF($L358="","",INDEX(Ref_AccountRules,$L358,4))</f>
        <v/>
      </c>
      <c r="K358" s="1" t="str">
        <f>IF($L358="","",INDEX(Ref_AccountRules,$L358,5))</f>
        <v/>
      </c>
      <c r="L358" s="1" t="str">
        <f t="shared" si="23"/>
        <v/>
      </c>
    </row>
    <row r="359" spans="2:12" x14ac:dyDescent="0.35">
      <c r="B359" s="12"/>
      <c r="C359" s="11"/>
      <c r="D359" s="11"/>
      <c r="E359" s="11"/>
      <c r="F359" s="1" t="str">
        <f t="shared" si="20"/>
        <v/>
      </c>
      <c r="G359" s="1" t="str">
        <f t="shared" si="21"/>
        <v/>
      </c>
      <c r="H359" s="1" t="str">
        <f t="shared" si="22"/>
        <v/>
      </c>
      <c r="I359" s="1" t="str">
        <f>IF($L359="","",INDEX(Ref_AccountRules,$L359,3))</f>
        <v/>
      </c>
      <c r="J359" s="1" t="str">
        <f>IF($L359="","",INDEX(Ref_AccountRules,$L359,4))</f>
        <v/>
      </c>
      <c r="K359" s="1" t="str">
        <f>IF($L359="","",INDEX(Ref_AccountRules,$L359,5))</f>
        <v/>
      </c>
      <c r="L359" s="1" t="str">
        <f t="shared" si="23"/>
        <v/>
      </c>
    </row>
    <row r="360" spans="2:12" x14ac:dyDescent="0.35">
      <c r="B360" s="12"/>
      <c r="C360" s="11"/>
      <c r="D360" s="11"/>
      <c r="E360" s="11"/>
      <c r="F360" s="1" t="str">
        <f t="shared" si="20"/>
        <v/>
      </c>
      <c r="G360" s="1" t="str">
        <f t="shared" si="21"/>
        <v/>
      </c>
      <c r="H360" s="1" t="str">
        <f t="shared" si="22"/>
        <v/>
      </c>
      <c r="I360" s="1" t="str">
        <f>IF($L360="","",INDEX(Ref_AccountRules,$L360,3))</f>
        <v/>
      </c>
      <c r="J360" s="1" t="str">
        <f>IF($L360="","",INDEX(Ref_AccountRules,$L360,4))</f>
        <v/>
      </c>
      <c r="K360" s="1" t="str">
        <f>IF($L360="","",INDEX(Ref_AccountRules,$L360,5))</f>
        <v/>
      </c>
      <c r="L360" s="1" t="str">
        <f t="shared" si="23"/>
        <v/>
      </c>
    </row>
    <row r="361" spans="2:12" x14ac:dyDescent="0.35">
      <c r="B361" s="12"/>
      <c r="C361" s="11"/>
      <c r="D361" s="11"/>
      <c r="E361" s="11"/>
      <c r="F361" s="1" t="str">
        <f t="shared" si="20"/>
        <v/>
      </c>
      <c r="G361" s="1" t="str">
        <f t="shared" si="21"/>
        <v/>
      </c>
      <c r="H361" s="1" t="str">
        <f t="shared" si="22"/>
        <v/>
      </c>
      <c r="I361" s="1" t="str">
        <f>IF($L361="","",INDEX(Ref_AccountRules,$L361,3))</f>
        <v/>
      </c>
      <c r="J361" s="1" t="str">
        <f>IF($L361="","",INDEX(Ref_AccountRules,$L361,4))</f>
        <v/>
      </c>
      <c r="K361" s="1" t="str">
        <f>IF($L361="","",INDEX(Ref_AccountRules,$L361,5))</f>
        <v/>
      </c>
      <c r="L361" s="1" t="str">
        <f t="shared" si="23"/>
        <v/>
      </c>
    </row>
    <row r="362" spans="2:12" x14ac:dyDescent="0.35">
      <c r="B362" s="12"/>
      <c r="C362" s="11"/>
      <c r="D362" s="11"/>
      <c r="E362" s="11"/>
      <c r="F362" s="1" t="str">
        <f t="shared" si="20"/>
        <v/>
      </c>
      <c r="G362" s="1" t="str">
        <f t="shared" si="21"/>
        <v/>
      </c>
      <c r="H362" s="1" t="str">
        <f t="shared" si="22"/>
        <v/>
      </c>
      <c r="I362" s="1" t="str">
        <f>IF($L362="","",INDEX(Ref_AccountRules,$L362,3))</f>
        <v/>
      </c>
      <c r="J362" s="1" t="str">
        <f>IF($L362="","",INDEX(Ref_AccountRules,$L362,4))</f>
        <v/>
      </c>
      <c r="K362" s="1" t="str">
        <f>IF($L362="","",INDEX(Ref_AccountRules,$L362,5))</f>
        <v/>
      </c>
      <c r="L362" s="1" t="str">
        <f t="shared" si="23"/>
        <v/>
      </c>
    </row>
    <row r="363" spans="2:12" x14ac:dyDescent="0.35">
      <c r="B363" s="12"/>
      <c r="C363" s="11"/>
      <c r="D363" s="11"/>
      <c r="E363" s="11"/>
      <c r="F363" s="1" t="str">
        <f t="shared" si="20"/>
        <v/>
      </c>
      <c r="G363" s="1" t="str">
        <f t="shared" si="21"/>
        <v/>
      </c>
      <c r="H363" s="1" t="str">
        <f t="shared" si="22"/>
        <v/>
      </c>
      <c r="I363" s="1" t="str">
        <f>IF($L363="","",INDEX(Ref_AccountRules,$L363,3))</f>
        <v/>
      </c>
      <c r="J363" s="1" t="str">
        <f>IF($L363="","",INDEX(Ref_AccountRules,$L363,4))</f>
        <v/>
      </c>
      <c r="K363" s="1" t="str">
        <f>IF($L363="","",INDEX(Ref_AccountRules,$L363,5))</f>
        <v/>
      </c>
      <c r="L363" s="1" t="str">
        <f t="shared" si="23"/>
        <v/>
      </c>
    </row>
    <row r="364" spans="2:12" x14ac:dyDescent="0.35">
      <c r="B364" s="12"/>
      <c r="C364" s="11"/>
      <c r="D364" s="11"/>
      <c r="E364" s="11"/>
      <c r="F364" s="1" t="str">
        <f t="shared" si="20"/>
        <v/>
      </c>
      <c r="G364" s="1" t="str">
        <f t="shared" si="21"/>
        <v/>
      </c>
      <c r="H364" s="1" t="str">
        <f t="shared" si="22"/>
        <v/>
      </c>
      <c r="I364" s="1" t="str">
        <f>IF($L364="","",INDEX(Ref_AccountRules,$L364,3))</f>
        <v/>
      </c>
      <c r="J364" s="1" t="str">
        <f>IF($L364="","",INDEX(Ref_AccountRules,$L364,4))</f>
        <v/>
      </c>
      <c r="K364" s="1" t="str">
        <f>IF($L364="","",INDEX(Ref_AccountRules,$L364,5))</f>
        <v/>
      </c>
      <c r="L364" s="1" t="str">
        <f t="shared" si="23"/>
        <v/>
      </c>
    </row>
    <row r="365" spans="2:12" x14ac:dyDescent="0.35">
      <c r="B365" s="12"/>
      <c r="C365" s="11"/>
      <c r="D365" s="11"/>
      <c r="E365" s="11"/>
      <c r="F365" s="1" t="str">
        <f t="shared" si="20"/>
        <v/>
      </c>
      <c r="G365" s="1" t="str">
        <f t="shared" si="21"/>
        <v/>
      </c>
      <c r="H365" s="1" t="str">
        <f t="shared" si="22"/>
        <v/>
      </c>
      <c r="I365" s="1" t="str">
        <f>IF($L365="","",INDEX(Ref_AccountRules,$L365,3))</f>
        <v/>
      </c>
      <c r="J365" s="1" t="str">
        <f>IF($L365="","",INDEX(Ref_AccountRules,$L365,4))</f>
        <v/>
      </c>
      <c r="K365" s="1" t="str">
        <f>IF($L365="","",INDEX(Ref_AccountRules,$L365,5))</f>
        <v/>
      </c>
      <c r="L365" s="1" t="str">
        <f t="shared" si="23"/>
        <v/>
      </c>
    </row>
    <row r="366" spans="2:12" x14ac:dyDescent="0.35">
      <c r="B366" s="12"/>
      <c r="C366" s="11"/>
      <c r="D366" s="11"/>
      <c r="E366" s="11"/>
      <c r="F366" s="1" t="str">
        <f t="shared" si="20"/>
        <v/>
      </c>
      <c r="G366" s="1" t="str">
        <f t="shared" si="21"/>
        <v/>
      </c>
      <c r="H366" s="1" t="str">
        <f t="shared" si="22"/>
        <v/>
      </c>
      <c r="I366" s="1" t="str">
        <f>IF($L366="","",INDEX(Ref_AccountRules,$L366,3))</f>
        <v/>
      </c>
      <c r="J366" s="1" t="str">
        <f>IF($L366="","",INDEX(Ref_AccountRules,$L366,4))</f>
        <v/>
      </c>
      <c r="K366" s="1" t="str">
        <f>IF($L366="","",INDEX(Ref_AccountRules,$L366,5))</f>
        <v/>
      </c>
      <c r="L366" s="1" t="str">
        <f t="shared" si="23"/>
        <v/>
      </c>
    </row>
    <row r="367" spans="2:12" x14ac:dyDescent="0.35">
      <c r="B367" s="12"/>
      <c r="C367" s="11"/>
      <c r="D367" s="11"/>
      <c r="E367" s="11"/>
      <c r="F367" s="1" t="str">
        <f t="shared" si="20"/>
        <v/>
      </c>
      <c r="G367" s="1" t="str">
        <f t="shared" si="21"/>
        <v/>
      </c>
      <c r="H367" s="1" t="str">
        <f t="shared" si="22"/>
        <v/>
      </c>
      <c r="I367" s="1" t="str">
        <f>IF($L367="","",INDEX(Ref_AccountRules,$L367,3))</f>
        <v/>
      </c>
      <c r="J367" s="1" t="str">
        <f>IF($L367="","",INDEX(Ref_AccountRules,$L367,4))</f>
        <v/>
      </c>
      <c r="K367" s="1" t="str">
        <f>IF($L367="","",INDEX(Ref_AccountRules,$L367,5))</f>
        <v/>
      </c>
      <c r="L367" s="1" t="str">
        <f t="shared" si="23"/>
        <v/>
      </c>
    </row>
    <row r="368" spans="2:12" x14ac:dyDescent="0.35">
      <c r="B368" s="12"/>
      <c r="C368" s="11"/>
      <c r="D368" s="11"/>
      <c r="E368" s="11"/>
      <c r="F368" s="1" t="str">
        <f t="shared" si="20"/>
        <v/>
      </c>
      <c r="G368" s="1" t="str">
        <f t="shared" si="21"/>
        <v/>
      </c>
      <c r="H368" s="1" t="str">
        <f t="shared" si="22"/>
        <v/>
      </c>
      <c r="I368" s="1" t="str">
        <f>IF($L368="","",INDEX(Ref_AccountRules,$L368,3))</f>
        <v/>
      </c>
      <c r="J368" s="1" t="str">
        <f>IF($L368="","",INDEX(Ref_AccountRules,$L368,4))</f>
        <v/>
      </c>
      <c r="K368" s="1" t="str">
        <f>IF($L368="","",INDEX(Ref_AccountRules,$L368,5))</f>
        <v/>
      </c>
      <c r="L368" s="1" t="str">
        <f t="shared" si="23"/>
        <v/>
      </c>
    </row>
    <row r="369" spans="2:12" x14ac:dyDescent="0.35">
      <c r="B369" s="12"/>
      <c r="C369" s="11"/>
      <c r="D369" s="11"/>
      <c r="E369" s="11"/>
      <c r="F369" s="1" t="str">
        <f t="shared" si="20"/>
        <v/>
      </c>
      <c r="G369" s="1" t="str">
        <f t="shared" si="21"/>
        <v/>
      </c>
      <c r="H369" s="1" t="str">
        <f t="shared" si="22"/>
        <v/>
      </c>
      <c r="I369" s="1" t="str">
        <f>IF($L369="","",INDEX(Ref_AccountRules,$L369,3))</f>
        <v/>
      </c>
      <c r="J369" s="1" t="str">
        <f>IF($L369="","",INDEX(Ref_AccountRules,$L369,4))</f>
        <v/>
      </c>
      <c r="K369" s="1" t="str">
        <f>IF($L369="","",INDEX(Ref_AccountRules,$L369,5))</f>
        <v/>
      </c>
      <c r="L369" s="1" t="str">
        <f t="shared" si="23"/>
        <v/>
      </c>
    </row>
    <row r="370" spans="2:12" x14ac:dyDescent="0.35">
      <c r="B370" s="12"/>
      <c r="C370" s="11"/>
      <c r="D370" s="11"/>
      <c r="E370" s="11"/>
      <c r="F370" s="1" t="str">
        <f t="shared" si="20"/>
        <v/>
      </c>
      <c r="G370" s="1" t="str">
        <f t="shared" si="21"/>
        <v/>
      </c>
      <c r="H370" s="1" t="str">
        <f t="shared" si="22"/>
        <v/>
      </c>
      <c r="I370" s="1" t="str">
        <f>IF($L370="","",INDEX(Ref_AccountRules,$L370,3))</f>
        <v/>
      </c>
      <c r="J370" s="1" t="str">
        <f>IF($L370="","",INDEX(Ref_AccountRules,$L370,4))</f>
        <v/>
      </c>
      <c r="K370" s="1" t="str">
        <f>IF($L370="","",INDEX(Ref_AccountRules,$L370,5))</f>
        <v/>
      </c>
      <c r="L370" s="1" t="str">
        <f t="shared" si="23"/>
        <v/>
      </c>
    </row>
    <row r="371" spans="2:12" x14ac:dyDescent="0.35">
      <c r="B371" s="12"/>
      <c r="C371" s="11"/>
      <c r="D371" s="11"/>
      <c r="E371" s="11"/>
      <c r="F371" s="1" t="str">
        <f t="shared" si="20"/>
        <v/>
      </c>
      <c r="G371" s="1" t="str">
        <f t="shared" si="21"/>
        <v/>
      </c>
      <c r="H371" s="1" t="str">
        <f t="shared" si="22"/>
        <v/>
      </c>
      <c r="I371" s="1" t="str">
        <f>IF($L371="","",INDEX(Ref_AccountRules,$L371,3))</f>
        <v/>
      </c>
      <c r="J371" s="1" t="str">
        <f>IF($L371="","",INDEX(Ref_AccountRules,$L371,4))</f>
        <v/>
      </c>
      <c r="K371" s="1" t="str">
        <f>IF($L371="","",INDEX(Ref_AccountRules,$L371,5))</f>
        <v/>
      </c>
      <c r="L371" s="1" t="str">
        <f t="shared" si="23"/>
        <v/>
      </c>
    </row>
    <row r="372" spans="2:12" x14ac:dyDescent="0.35">
      <c r="B372" s="12"/>
      <c r="C372" s="11"/>
      <c r="D372" s="11"/>
      <c r="E372" s="11"/>
      <c r="F372" s="1" t="str">
        <f t="shared" si="20"/>
        <v/>
      </c>
      <c r="G372" s="1" t="str">
        <f t="shared" si="21"/>
        <v/>
      </c>
      <c r="H372" s="1" t="str">
        <f t="shared" si="22"/>
        <v/>
      </c>
      <c r="I372" s="1" t="str">
        <f>IF($L372="","",INDEX(Ref_AccountRules,$L372,3))</f>
        <v/>
      </c>
      <c r="J372" s="1" t="str">
        <f>IF($L372="","",INDEX(Ref_AccountRules,$L372,4))</f>
        <v/>
      </c>
      <c r="K372" s="1" t="str">
        <f>IF($L372="","",INDEX(Ref_AccountRules,$L372,5))</f>
        <v/>
      </c>
      <c r="L372" s="1" t="str">
        <f t="shared" si="23"/>
        <v/>
      </c>
    </row>
    <row r="373" spans="2:12" x14ac:dyDescent="0.35">
      <c r="B373" s="12"/>
      <c r="C373" s="11"/>
      <c r="D373" s="11"/>
      <c r="E373" s="11"/>
      <c r="F373" s="1" t="str">
        <f t="shared" si="20"/>
        <v/>
      </c>
      <c r="G373" s="1" t="str">
        <f t="shared" si="21"/>
        <v/>
      </c>
      <c r="H373" s="1" t="str">
        <f t="shared" si="22"/>
        <v/>
      </c>
      <c r="I373" s="1" t="str">
        <f>IF($L373="","",INDEX(Ref_AccountRules,$L373,3))</f>
        <v/>
      </c>
      <c r="J373" s="1" t="str">
        <f>IF($L373="","",INDEX(Ref_AccountRules,$L373,4))</f>
        <v/>
      </c>
      <c r="K373" s="1" t="str">
        <f>IF($L373="","",INDEX(Ref_AccountRules,$L373,5))</f>
        <v/>
      </c>
      <c r="L373" s="1" t="str">
        <f t="shared" si="23"/>
        <v/>
      </c>
    </row>
    <row r="374" spans="2:12" x14ac:dyDescent="0.35">
      <c r="B374" s="12"/>
      <c r="C374" s="11"/>
      <c r="D374" s="11"/>
      <c r="E374" s="11"/>
      <c r="F374" s="1" t="str">
        <f t="shared" si="20"/>
        <v/>
      </c>
      <c r="G374" s="1" t="str">
        <f t="shared" si="21"/>
        <v/>
      </c>
      <c r="H374" s="1" t="str">
        <f t="shared" si="22"/>
        <v/>
      </c>
      <c r="I374" s="1" t="str">
        <f>IF($L374="","",INDEX(Ref_AccountRules,$L374,3))</f>
        <v/>
      </c>
      <c r="J374" s="1" t="str">
        <f>IF($L374="","",INDEX(Ref_AccountRules,$L374,4))</f>
        <v/>
      </c>
      <c r="K374" s="1" t="str">
        <f>IF($L374="","",INDEX(Ref_AccountRules,$L374,5))</f>
        <v/>
      </c>
      <c r="L374" s="1" t="str">
        <f t="shared" si="23"/>
        <v/>
      </c>
    </row>
    <row r="375" spans="2:12" x14ac:dyDescent="0.35">
      <c r="B375" s="12"/>
      <c r="C375" s="11"/>
      <c r="D375" s="11"/>
      <c r="E375" s="11"/>
      <c r="F375" s="1" t="str">
        <f t="shared" si="20"/>
        <v/>
      </c>
      <c r="G375" s="1" t="str">
        <f t="shared" si="21"/>
        <v/>
      </c>
      <c r="H375" s="1" t="str">
        <f t="shared" si="22"/>
        <v/>
      </c>
      <c r="I375" s="1" t="str">
        <f>IF($L375="","",INDEX(Ref_AccountRules,$L375,3))</f>
        <v/>
      </c>
      <c r="J375" s="1" t="str">
        <f>IF($L375="","",INDEX(Ref_AccountRules,$L375,4))</f>
        <v/>
      </c>
      <c r="K375" s="1" t="str">
        <f>IF($L375="","",INDEX(Ref_AccountRules,$L375,5))</f>
        <v/>
      </c>
      <c r="L375" s="1" t="str">
        <f t="shared" si="23"/>
        <v/>
      </c>
    </row>
    <row r="376" spans="2:12" x14ac:dyDescent="0.35">
      <c r="B376" s="12"/>
      <c r="C376" s="11"/>
      <c r="D376" s="11"/>
      <c r="E376" s="11"/>
      <c r="F376" s="1" t="str">
        <f t="shared" si="20"/>
        <v/>
      </c>
      <c r="G376" s="1" t="str">
        <f t="shared" si="21"/>
        <v/>
      </c>
      <c r="H376" s="1" t="str">
        <f t="shared" si="22"/>
        <v/>
      </c>
      <c r="I376" s="1" t="str">
        <f>IF($L376="","",INDEX(Ref_AccountRules,$L376,3))</f>
        <v/>
      </c>
      <c r="J376" s="1" t="str">
        <f>IF($L376="","",INDEX(Ref_AccountRules,$L376,4))</f>
        <v/>
      </c>
      <c r="K376" s="1" t="str">
        <f>IF($L376="","",INDEX(Ref_AccountRules,$L376,5))</f>
        <v/>
      </c>
      <c r="L376" s="1" t="str">
        <f t="shared" si="23"/>
        <v/>
      </c>
    </row>
    <row r="377" spans="2:12" x14ac:dyDescent="0.35">
      <c r="B377" s="12"/>
      <c r="C377" s="11"/>
      <c r="D377" s="11"/>
      <c r="E377" s="11"/>
      <c r="F377" s="1" t="str">
        <f t="shared" si="20"/>
        <v/>
      </c>
      <c r="G377" s="1" t="str">
        <f t="shared" si="21"/>
        <v/>
      </c>
      <c r="H377" s="1" t="str">
        <f t="shared" si="22"/>
        <v/>
      </c>
      <c r="I377" s="1" t="str">
        <f>IF($L377="","",INDEX(Ref_AccountRules,$L377,3))</f>
        <v/>
      </c>
      <c r="J377" s="1" t="str">
        <f>IF($L377="","",INDEX(Ref_AccountRules,$L377,4))</f>
        <v/>
      </c>
      <c r="K377" s="1" t="str">
        <f>IF($L377="","",INDEX(Ref_AccountRules,$L377,5))</f>
        <v/>
      </c>
      <c r="L377" s="1" t="str">
        <f t="shared" si="23"/>
        <v/>
      </c>
    </row>
    <row r="378" spans="2:12" x14ac:dyDescent="0.35">
      <c r="B378" s="12"/>
      <c r="C378" s="11"/>
      <c r="D378" s="11"/>
      <c r="E378" s="11"/>
      <c r="F378" s="1" t="str">
        <f t="shared" si="20"/>
        <v/>
      </c>
      <c r="G378" s="1" t="str">
        <f t="shared" si="21"/>
        <v/>
      </c>
      <c r="H378" s="1" t="str">
        <f t="shared" si="22"/>
        <v/>
      </c>
      <c r="I378" s="1" t="str">
        <f>IF($L378="","",INDEX(Ref_AccountRules,$L378,3))</f>
        <v/>
      </c>
      <c r="J378" s="1" t="str">
        <f>IF($L378="","",INDEX(Ref_AccountRules,$L378,4))</f>
        <v/>
      </c>
      <c r="K378" s="1" t="str">
        <f>IF($L378="","",INDEX(Ref_AccountRules,$L378,5))</f>
        <v/>
      </c>
      <c r="L378" s="1" t="str">
        <f t="shared" si="23"/>
        <v/>
      </c>
    </row>
    <row r="379" spans="2:12" x14ac:dyDescent="0.35">
      <c r="B379" s="12"/>
      <c r="C379" s="11"/>
      <c r="D379" s="11"/>
      <c r="E379" s="11"/>
      <c r="F379" s="1" t="str">
        <f t="shared" si="20"/>
        <v/>
      </c>
      <c r="G379" s="1" t="str">
        <f t="shared" si="21"/>
        <v/>
      </c>
      <c r="H379" s="1" t="str">
        <f t="shared" si="22"/>
        <v/>
      </c>
      <c r="I379" s="1" t="str">
        <f>IF($L379="","",INDEX(Ref_AccountRules,$L379,3))</f>
        <v/>
      </c>
      <c r="J379" s="1" t="str">
        <f>IF($L379="","",INDEX(Ref_AccountRules,$L379,4))</f>
        <v/>
      </c>
      <c r="K379" s="1" t="str">
        <f>IF($L379="","",INDEX(Ref_AccountRules,$L379,5))</f>
        <v/>
      </c>
      <c r="L379" s="1" t="str">
        <f t="shared" si="23"/>
        <v/>
      </c>
    </row>
    <row r="380" spans="2:12" x14ac:dyDescent="0.35">
      <c r="B380" s="12"/>
      <c r="C380" s="11"/>
      <c r="D380" s="11"/>
      <c r="E380" s="11"/>
      <c r="F380" s="1" t="str">
        <f t="shared" si="20"/>
        <v/>
      </c>
      <c r="G380" s="1" t="str">
        <f t="shared" si="21"/>
        <v/>
      </c>
      <c r="H380" s="1" t="str">
        <f t="shared" si="22"/>
        <v/>
      </c>
      <c r="I380" s="1" t="str">
        <f>IF($L380="","",INDEX(Ref_AccountRules,$L380,3))</f>
        <v/>
      </c>
      <c r="J380" s="1" t="str">
        <f>IF($L380="","",INDEX(Ref_AccountRules,$L380,4))</f>
        <v/>
      </c>
      <c r="K380" s="1" t="str">
        <f>IF($L380="","",INDEX(Ref_AccountRules,$L380,5))</f>
        <v/>
      </c>
      <c r="L380" s="1" t="str">
        <f t="shared" si="23"/>
        <v/>
      </c>
    </row>
    <row r="381" spans="2:12" x14ac:dyDescent="0.35">
      <c r="B381" s="12"/>
      <c r="C381" s="11"/>
      <c r="D381" s="11"/>
      <c r="E381" s="11"/>
      <c r="F381" s="1" t="str">
        <f t="shared" si="20"/>
        <v/>
      </c>
      <c r="G381" s="1" t="str">
        <f t="shared" si="21"/>
        <v/>
      </c>
      <c r="H381" s="1" t="str">
        <f t="shared" si="22"/>
        <v/>
      </c>
      <c r="I381" s="1" t="str">
        <f>IF($L381="","",INDEX(Ref_AccountRules,$L381,3))</f>
        <v/>
      </c>
      <c r="J381" s="1" t="str">
        <f>IF($L381="","",INDEX(Ref_AccountRules,$L381,4))</f>
        <v/>
      </c>
      <c r="K381" s="1" t="str">
        <f>IF($L381="","",INDEX(Ref_AccountRules,$L381,5))</f>
        <v/>
      </c>
      <c r="L381" s="1" t="str">
        <f t="shared" si="23"/>
        <v/>
      </c>
    </row>
    <row r="382" spans="2:12" x14ac:dyDescent="0.35">
      <c r="B382" s="12"/>
      <c r="C382" s="11"/>
      <c r="D382" s="11"/>
      <c r="E382" s="11"/>
      <c r="F382" s="1" t="str">
        <f t="shared" si="20"/>
        <v/>
      </c>
      <c r="G382" s="1" t="str">
        <f t="shared" si="21"/>
        <v/>
      </c>
      <c r="H382" s="1" t="str">
        <f t="shared" si="22"/>
        <v/>
      </c>
      <c r="I382" s="1" t="str">
        <f>IF($L382="","",INDEX(Ref_AccountRules,$L382,3))</f>
        <v/>
      </c>
      <c r="J382" s="1" t="str">
        <f>IF($L382="","",INDEX(Ref_AccountRules,$L382,4))</f>
        <v/>
      </c>
      <c r="K382" s="1" t="str">
        <f>IF($L382="","",INDEX(Ref_AccountRules,$L382,5))</f>
        <v/>
      </c>
      <c r="L382" s="1" t="str">
        <f t="shared" si="23"/>
        <v/>
      </c>
    </row>
    <row r="383" spans="2:12" x14ac:dyDescent="0.35">
      <c r="B383" s="12"/>
      <c r="C383" s="11"/>
      <c r="D383" s="11"/>
      <c r="E383" s="11"/>
      <c r="F383" s="1" t="str">
        <f t="shared" si="20"/>
        <v/>
      </c>
      <c r="G383" s="1" t="str">
        <f t="shared" si="21"/>
        <v/>
      </c>
      <c r="H383" s="1" t="str">
        <f t="shared" si="22"/>
        <v/>
      </c>
      <c r="I383" s="1" t="str">
        <f>IF($L383="","",INDEX(Ref_AccountRules,$L383,3))</f>
        <v/>
      </c>
      <c r="J383" s="1" t="str">
        <f>IF($L383="","",INDEX(Ref_AccountRules,$L383,4))</f>
        <v/>
      </c>
      <c r="K383" s="1" t="str">
        <f>IF($L383="","",INDEX(Ref_AccountRules,$L383,5))</f>
        <v/>
      </c>
      <c r="L383" s="1" t="str">
        <f t="shared" si="23"/>
        <v/>
      </c>
    </row>
    <row r="384" spans="2:12" x14ac:dyDescent="0.35">
      <c r="B384" s="12"/>
      <c r="C384" s="11"/>
      <c r="D384" s="11"/>
      <c r="E384" s="11"/>
      <c r="F384" s="1" t="str">
        <f t="shared" si="20"/>
        <v/>
      </c>
      <c r="G384" s="1" t="str">
        <f t="shared" si="21"/>
        <v/>
      </c>
      <c r="H384" s="1" t="str">
        <f t="shared" si="22"/>
        <v/>
      </c>
      <c r="I384" s="1" t="str">
        <f>IF($L384="","",INDEX(Ref_AccountRules,$L384,3))</f>
        <v/>
      </c>
      <c r="J384" s="1" t="str">
        <f>IF($L384="","",INDEX(Ref_AccountRules,$L384,4))</f>
        <v/>
      </c>
      <c r="K384" s="1" t="str">
        <f>IF($L384="","",INDEX(Ref_AccountRules,$L384,5))</f>
        <v/>
      </c>
      <c r="L384" s="1" t="str">
        <f t="shared" si="23"/>
        <v/>
      </c>
    </row>
    <row r="385" spans="2:12" x14ac:dyDescent="0.35">
      <c r="B385" s="12"/>
      <c r="C385" s="11"/>
      <c r="D385" s="11"/>
      <c r="E385" s="11"/>
      <c r="F385" s="1" t="str">
        <f t="shared" si="20"/>
        <v/>
      </c>
      <c r="G385" s="1" t="str">
        <f t="shared" si="21"/>
        <v/>
      </c>
      <c r="H385" s="1" t="str">
        <f t="shared" si="22"/>
        <v/>
      </c>
      <c r="I385" s="1" t="str">
        <f>IF($L385="","",INDEX(Ref_AccountRules,$L385,3))</f>
        <v/>
      </c>
      <c r="J385" s="1" t="str">
        <f>IF($L385="","",INDEX(Ref_AccountRules,$L385,4))</f>
        <v/>
      </c>
      <c r="K385" s="1" t="str">
        <f>IF($L385="","",INDEX(Ref_AccountRules,$L385,5))</f>
        <v/>
      </c>
      <c r="L385" s="1" t="str">
        <f t="shared" si="23"/>
        <v/>
      </c>
    </row>
    <row r="386" spans="2:12" x14ac:dyDescent="0.35">
      <c r="B386" s="12"/>
      <c r="C386" s="11"/>
      <c r="D386" s="11"/>
      <c r="E386" s="11"/>
      <c r="F386" s="1" t="str">
        <f t="shared" si="20"/>
        <v/>
      </c>
      <c r="G386" s="1" t="str">
        <f t="shared" si="21"/>
        <v/>
      </c>
      <c r="H386" s="1" t="str">
        <f t="shared" si="22"/>
        <v/>
      </c>
      <c r="I386" s="1" t="str">
        <f>IF($L386="","",INDEX(Ref_AccountRules,$L386,3))</f>
        <v/>
      </c>
      <c r="J386" s="1" t="str">
        <f>IF($L386="","",INDEX(Ref_AccountRules,$L386,4))</f>
        <v/>
      </c>
      <c r="K386" s="1" t="str">
        <f>IF($L386="","",INDEX(Ref_AccountRules,$L386,5))</f>
        <v/>
      </c>
      <c r="L386" s="1" t="str">
        <f t="shared" si="23"/>
        <v/>
      </c>
    </row>
    <row r="387" spans="2:12" x14ac:dyDescent="0.35">
      <c r="B387" s="12"/>
      <c r="C387" s="11"/>
      <c r="D387" s="11"/>
      <c r="E387" s="11"/>
      <c r="F387" s="1" t="str">
        <f t="shared" si="20"/>
        <v/>
      </c>
      <c r="G387" s="1" t="str">
        <f t="shared" si="21"/>
        <v/>
      </c>
      <c r="H387" s="1" t="str">
        <f t="shared" si="22"/>
        <v/>
      </c>
      <c r="I387" s="1" t="str">
        <f>IF($L387="","",INDEX(Ref_AccountRules,$L387,3))</f>
        <v/>
      </c>
      <c r="J387" s="1" t="str">
        <f>IF($L387="","",INDEX(Ref_AccountRules,$L387,4))</f>
        <v/>
      </c>
      <c r="K387" s="1" t="str">
        <f>IF($L387="","",INDEX(Ref_AccountRules,$L387,5))</f>
        <v/>
      </c>
      <c r="L387" s="1" t="str">
        <f t="shared" si="23"/>
        <v/>
      </c>
    </row>
    <row r="388" spans="2:12" x14ac:dyDescent="0.35">
      <c r="B388" s="12"/>
      <c r="C388" s="11"/>
      <c r="D388" s="11"/>
      <c r="E388" s="11"/>
      <c r="F388" s="1" t="str">
        <f t="shared" si="20"/>
        <v/>
      </c>
      <c r="G388" s="1" t="str">
        <f t="shared" si="21"/>
        <v/>
      </c>
      <c r="H388" s="1" t="str">
        <f t="shared" si="22"/>
        <v/>
      </c>
      <c r="I388" s="1" t="str">
        <f>IF($L388="","",INDEX(Ref_AccountRules,$L388,3))</f>
        <v/>
      </c>
      <c r="J388" s="1" t="str">
        <f>IF($L388="","",INDEX(Ref_AccountRules,$L388,4))</f>
        <v/>
      </c>
      <c r="K388" s="1" t="str">
        <f>IF($L388="","",INDEX(Ref_AccountRules,$L388,5))</f>
        <v/>
      </c>
      <c r="L388" s="1" t="str">
        <f t="shared" si="23"/>
        <v/>
      </c>
    </row>
    <row r="389" spans="2:12" x14ac:dyDescent="0.35">
      <c r="B389" s="12"/>
      <c r="C389" s="11"/>
      <c r="D389" s="11"/>
      <c r="E389" s="11"/>
      <c r="F389" s="1" t="str">
        <f t="shared" si="20"/>
        <v/>
      </c>
      <c r="G389" s="1" t="str">
        <f t="shared" si="21"/>
        <v/>
      </c>
      <c r="H389" s="1" t="str">
        <f t="shared" si="22"/>
        <v/>
      </c>
      <c r="I389" s="1" t="str">
        <f>IF($L389="","",INDEX(Ref_AccountRules,$L389,3))</f>
        <v/>
      </c>
      <c r="J389" s="1" t="str">
        <f>IF($L389="","",INDEX(Ref_AccountRules,$L389,4))</f>
        <v/>
      </c>
      <c r="K389" s="1" t="str">
        <f>IF($L389="","",INDEX(Ref_AccountRules,$L389,5))</f>
        <v/>
      </c>
      <c r="L389" s="1" t="str">
        <f t="shared" si="23"/>
        <v/>
      </c>
    </row>
    <row r="390" spans="2:12" x14ac:dyDescent="0.35">
      <c r="B390" s="12"/>
      <c r="C390" s="11"/>
      <c r="D390" s="11"/>
      <c r="E390" s="11"/>
      <c r="F390" s="1" t="str">
        <f t="shared" si="20"/>
        <v/>
      </c>
      <c r="G390" s="1" t="str">
        <f t="shared" si="21"/>
        <v/>
      </c>
      <c r="H390" s="1" t="str">
        <f t="shared" si="22"/>
        <v/>
      </c>
      <c r="I390" s="1" t="str">
        <f>IF($L390="","",INDEX(Ref_AccountRules,$L390,3))</f>
        <v/>
      </c>
      <c r="J390" s="1" t="str">
        <f>IF($L390="","",INDEX(Ref_AccountRules,$L390,4))</f>
        <v/>
      </c>
      <c r="K390" s="1" t="str">
        <f>IF($L390="","",INDEX(Ref_AccountRules,$L390,5))</f>
        <v/>
      </c>
      <c r="L390" s="1" t="str">
        <f t="shared" si="23"/>
        <v/>
      </c>
    </row>
    <row r="391" spans="2:12" x14ac:dyDescent="0.35">
      <c r="B391" s="12"/>
      <c r="C391" s="11"/>
      <c r="D391" s="11"/>
      <c r="E391" s="11"/>
      <c r="F391" s="1" t="str">
        <f t="shared" si="20"/>
        <v/>
      </c>
      <c r="G391" s="1" t="str">
        <f t="shared" si="21"/>
        <v/>
      </c>
      <c r="H391" s="1" t="str">
        <f t="shared" si="22"/>
        <v/>
      </c>
      <c r="I391" s="1" t="str">
        <f>IF($L391="","",INDEX(Ref_AccountRules,$L391,3))</f>
        <v/>
      </c>
      <c r="J391" s="1" t="str">
        <f>IF($L391="","",INDEX(Ref_AccountRules,$L391,4))</f>
        <v/>
      </c>
      <c r="K391" s="1" t="str">
        <f>IF($L391="","",INDEX(Ref_AccountRules,$L391,5))</f>
        <v/>
      </c>
      <c r="L391" s="1" t="str">
        <f t="shared" si="23"/>
        <v/>
      </c>
    </row>
    <row r="392" spans="2:12" x14ac:dyDescent="0.35">
      <c r="B392" s="12"/>
      <c r="C392" s="11"/>
      <c r="D392" s="11"/>
      <c r="E392" s="11"/>
      <c r="F392" s="1" t="str">
        <f t="shared" si="20"/>
        <v/>
      </c>
      <c r="G392" s="1" t="str">
        <f t="shared" si="21"/>
        <v/>
      </c>
      <c r="H392" s="1" t="str">
        <f t="shared" si="22"/>
        <v/>
      </c>
      <c r="I392" s="1" t="str">
        <f>IF($L392="","",INDEX(Ref_AccountRules,$L392,3))</f>
        <v/>
      </c>
      <c r="J392" s="1" t="str">
        <f>IF($L392="","",INDEX(Ref_AccountRules,$L392,4))</f>
        <v/>
      </c>
      <c r="K392" s="1" t="str">
        <f>IF($L392="","",INDEX(Ref_AccountRules,$L392,5))</f>
        <v/>
      </c>
      <c r="L392" s="1" t="str">
        <f t="shared" si="23"/>
        <v/>
      </c>
    </row>
    <row r="393" spans="2:12" x14ac:dyDescent="0.35">
      <c r="B393" s="12"/>
      <c r="C393" s="11"/>
      <c r="D393" s="11"/>
      <c r="E393" s="11"/>
      <c r="F393" s="1" t="str">
        <f t="shared" si="20"/>
        <v/>
      </c>
      <c r="G393" s="1" t="str">
        <f t="shared" si="21"/>
        <v/>
      </c>
      <c r="H393" s="1" t="str">
        <f t="shared" si="22"/>
        <v/>
      </c>
      <c r="I393" s="1" t="str">
        <f>IF($L393="","",INDEX(Ref_AccountRules,$L393,3))</f>
        <v/>
      </c>
      <c r="J393" s="1" t="str">
        <f>IF($L393="","",INDEX(Ref_AccountRules,$L393,4))</f>
        <v/>
      </c>
      <c r="K393" s="1" t="str">
        <f>IF($L393="","",INDEX(Ref_AccountRules,$L393,5))</f>
        <v/>
      </c>
      <c r="L393" s="1" t="str">
        <f t="shared" si="23"/>
        <v/>
      </c>
    </row>
    <row r="394" spans="2:12" x14ac:dyDescent="0.35">
      <c r="B394" s="12"/>
      <c r="C394" s="11"/>
      <c r="D394" s="11"/>
      <c r="E394" s="11"/>
      <c r="F394" s="1" t="str">
        <f t="shared" si="20"/>
        <v/>
      </c>
      <c r="G394" s="1" t="str">
        <f t="shared" si="21"/>
        <v/>
      </c>
      <c r="H394" s="1" t="str">
        <f t="shared" si="22"/>
        <v/>
      </c>
      <c r="I394" s="1" t="str">
        <f>IF($L394="","",INDEX(Ref_AccountRules,$L394,3))</f>
        <v/>
      </c>
      <c r="J394" s="1" t="str">
        <f>IF($L394="","",INDEX(Ref_AccountRules,$L394,4))</f>
        <v/>
      </c>
      <c r="K394" s="1" t="str">
        <f>IF($L394="","",INDEX(Ref_AccountRules,$L394,5))</f>
        <v/>
      </c>
      <c r="L394" s="1" t="str">
        <f t="shared" si="23"/>
        <v/>
      </c>
    </row>
    <row r="395" spans="2:12" x14ac:dyDescent="0.35">
      <c r="B395" s="12"/>
      <c r="C395" s="11"/>
      <c r="D395" s="11"/>
      <c r="E395" s="11"/>
      <c r="F395" s="1" t="str">
        <f t="shared" ref="F395:F458" si="24">IF($B395="","",E395-D395)</f>
        <v/>
      </c>
      <c r="G395" s="1" t="str">
        <f t="shared" ref="G395:G458" si="25">IF($B395="","",IF(D395=0,0,(E395-D395)/ABS(D395)*100))</f>
        <v/>
      </c>
      <c r="H395" s="1" t="str">
        <f t="shared" ref="H395:H458" si="26">IF($B395="","",IF(LEFT($B395,6)="606880","emballages",IF(LEFT($B395,4)="6068","emballages",IF(LEFT($B395,3)="606","energie_dechets",IF(LEFT($B395,3)="164","tresorerie_financement",IF(LEFT($B395,2)="20","immobilisations",IF(LEFT($B395,2)="21","immobilisations",IF(LEFT($B395,2)="22","immobilisations",IF(LEFT($B395,2)="23","immobilisations",IF(LEFT($B395,2)="28","immobilisations",IF(LEFT($B395,2)="40","fournisseurs",IF(LEFT($B395,2)="41","clients",IF(LEFT($B395,2)="32","stocks",IF(LEFT($B395,2)="60","charges",IF(LEFT($B395,2)="61","services",IF(LEFT($B395,2)="62","personnel",IF(LEFT($B395,2)="63","fiscal",IF(LEFT($B395,2)="64","financier","autres"))))))))))))))))))</f>
        <v/>
      </c>
      <c r="I395" s="1" t="str">
        <f>IF($L395="","",INDEX(Ref_AccountRules,$L395,3))</f>
        <v/>
      </c>
      <c r="J395" s="1" t="str">
        <f>IF($L395="","",INDEX(Ref_AccountRules,$L395,4))</f>
        <v/>
      </c>
      <c r="K395" s="1" t="str">
        <f>IF($L395="","",INDEX(Ref_AccountRules,$L395,5))</f>
        <v/>
      </c>
      <c r="L395" s="1" t="str">
        <f t="shared" ref="L395:L458" si="27">IF($B395="","",IF(LEFT($B395,3)="215",1,IF(LEFT($B395,4)="2183",2,IF(LEFT($B395,3)="401",3,IF(LEFT($B395,3)="411",4,IF(LEFT($B395,3)="322",5,IF(LEFT($B395,4)="3220",6,IF(LEFT($B395,5)="32200",7,IF(LEFT($B395,3)="625",8,IF(LEFT($B395,3)="606",9,IF(LEFT($B395,3)="164",10,IF(LEFT($B395,6)="606880",11,""))))))))))))</f>
        <v/>
      </c>
    </row>
    <row r="396" spans="2:12" x14ac:dyDescent="0.35">
      <c r="B396" s="12"/>
      <c r="C396" s="11"/>
      <c r="D396" s="11"/>
      <c r="E396" s="11"/>
      <c r="F396" s="1" t="str">
        <f t="shared" si="24"/>
        <v/>
      </c>
      <c r="G396" s="1" t="str">
        <f t="shared" si="25"/>
        <v/>
      </c>
      <c r="H396" s="1" t="str">
        <f t="shared" si="26"/>
        <v/>
      </c>
      <c r="I396" s="1" t="str">
        <f>IF($L396="","",INDEX(Ref_AccountRules,$L396,3))</f>
        <v/>
      </c>
      <c r="J396" s="1" t="str">
        <f>IF($L396="","",INDEX(Ref_AccountRules,$L396,4))</f>
        <v/>
      </c>
      <c r="K396" s="1" t="str">
        <f>IF($L396="","",INDEX(Ref_AccountRules,$L396,5))</f>
        <v/>
      </c>
      <c r="L396" s="1" t="str">
        <f t="shared" si="27"/>
        <v/>
      </c>
    </row>
    <row r="397" spans="2:12" x14ac:dyDescent="0.35">
      <c r="B397" s="12"/>
      <c r="C397" s="11"/>
      <c r="D397" s="11"/>
      <c r="E397" s="11"/>
      <c r="F397" s="1" t="str">
        <f t="shared" si="24"/>
        <v/>
      </c>
      <c r="G397" s="1" t="str">
        <f t="shared" si="25"/>
        <v/>
      </c>
      <c r="H397" s="1" t="str">
        <f t="shared" si="26"/>
        <v/>
      </c>
      <c r="I397" s="1" t="str">
        <f>IF($L397="","",INDEX(Ref_AccountRules,$L397,3))</f>
        <v/>
      </c>
      <c r="J397" s="1" t="str">
        <f>IF($L397="","",INDEX(Ref_AccountRules,$L397,4))</f>
        <v/>
      </c>
      <c r="K397" s="1" t="str">
        <f>IF($L397="","",INDEX(Ref_AccountRules,$L397,5))</f>
        <v/>
      </c>
      <c r="L397" s="1" t="str">
        <f t="shared" si="27"/>
        <v/>
      </c>
    </row>
    <row r="398" spans="2:12" x14ac:dyDescent="0.35">
      <c r="B398" s="12"/>
      <c r="C398" s="11"/>
      <c r="D398" s="11"/>
      <c r="E398" s="11"/>
      <c r="F398" s="1" t="str">
        <f t="shared" si="24"/>
        <v/>
      </c>
      <c r="G398" s="1" t="str">
        <f t="shared" si="25"/>
        <v/>
      </c>
      <c r="H398" s="1" t="str">
        <f t="shared" si="26"/>
        <v/>
      </c>
      <c r="I398" s="1" t="str">
        <f>IF($L398="","",INDEX(Ref_AccountRules,$L398,3))</f>
        <v/>
      </c>
      <c r="J398" s="1" t="str">
        <f>IF($L398="","",INDEX(Ref_AccountRules,$L398,4))</f>
        <v/>
      </c>
      <c r="K398" s="1" t="str">
        <f>IF($L398="","",INDEX(Ref_AccountRules,$L398,5))</f>
        <v/>
      </c>
      <c r="L398" s="1" t="str">
        <f t="shared" si="27"/>
        <v/>
      </c>
    </row>
    <row r="399" spans="2:12" x14ac:dyDescent="0.35">
      <c r="B399" s="12"/>
      <c r="C399" s="11"/>
      <c r="D399" s="11"/>
      <c r="E399" s="11"/>
      <c r="F399" s="1" t="str">
        <f t="shared" si="24"/>
        <v/>
      </c>
      <c r="G399" s="1" t="str">
        <f t="shared" si="25"/>
        <v/>
      </c>
      <c r="H399" s="1" t="str">
        <f t="shared" si="26"/>
        <v/>
      </c>
      <c r="I399" s="1" t="str">
        <f>IF($L399="","",INDEX(Ref_AccountRules,$L399,3))</f>
        <v/>
      </c>
      <c r="J399" s="1" t="str">
        <f>IF($L399="","",INDEX(Ref_AccountRules,$L399,4))</f>
        <v/>
      </c>
      <c r="K399" s="1" t="str">
        <f>IF($L399="","",INDEX(Ref_AccountRules,$L399,5))</f>
        <v/>
      </c>
      <c r="L399" s="1" t="str">
        <f t="shared" si="27"/>
        <v/>
      </c>
    </row>
    <row r="400" spans="2:12" x14ac:dyDescent="0.35">
      <c r="B400" s="12"/>
      <c r="C400" s="11"/>
      <c r="D400" s="11"/>
      <c r="E400" s="11"/>
      <c r="F400" s="1" t="str">
        <f t="shared" si="24"/>
        <v/>
      </c>
      <c r="G400" s="1" t="str">
        <f t="shared" si="25"/>
        <v/>
      </c>
      <c r="H400" s="1" t="str">
        <f t="shared" si="26"/>
        <v/>
      </c>
      <c r="I400" s="1" t="str">
        <f>IF($L400="","",INDEX(Ref_AccountRules,$L400,3))</f>
        <v/>
      </c>
      <c r="J400" s="1" t="str">
        <f>IF($L400="","",INDEX(Ref_AccountRules,$L400,4))</f>
        <v/>
      </c>
      <c r="K400" s="1" t="str">
        <f>IF($L400="","",INDEX(Ref_AccountRules,$L400,5))</f>
        <v/>
      </c>
      <c r="L400" s="1" t="str">
        <f t="shared" si="27"/>
        <v/>
      </c>
    </row>
    <row r="401" spans="2:12" x14ac:dyDescent="0.35">
      <c r="B401" s="12"/>
      <c r="C401" s="11"/>
      <c r="D401" s="11"/>
      <c r="E401" s="11"/>
      <c r="F401" s="1" t="str">
        <f t="shared" si="24"/>
        <v/>
      </c>
      <c r="G401" s="1" t="str">
        <f t="shared" si="25"/>
        <v/>
      </c>
      <c r="H401" s="1" t="str">
        <f t="shared" si="26"/>
        <v/>
      </c>
      <c r="I401" s="1" t="str">
        <f>IF($L401="","",INDEX(Ref_AccountRules,$L401,3))</f>
        <v/>
      </c>
      <c r="J401" s="1" t="str">
        <f>IF($L401="","",INDEX(Ref_AccountRules,$L401,4))</f>
        <v/>
      </c>
      <c r="K401" s="1" t="str">
        <f>IF($L401="","",INDEX(Ref_AccountRules,$L401,5))</f>
        <v/>
      </c>
      <c r="L401" s="1" t="str">
        <f t="shared" si="27"/>
        <v/>
      </c>
    </row>
    <row r="402" spans="2:12" x14ac:dyDescent="0.35">
      <c r="B402" s="12"/>
      <c r="C402" s="11"/>
      <c r="D402" s="11"/>
      <c r="E402" s="11"/>
      <c r="F402" s="1" t="str">
        <f t="shared" si="24"/>
        <v/>
      </c>
      <c r="G402" s="1" t="str">
        <f t="shared" si="25"/>
        <v/>
      </c>
      <c r="H402" s="1" t="str">
        <f t="shared" si="26"/>
        <v/>
      </c>
      <c r="I402" s="1" t="str">
        <f>IF($L402="","",INDEX(Ref_AccountRules,$L402,3))</f>
        <v/>
      </c>
      <c r="J402" s="1" t="str">
        <f>IF($L402="","",INDEX(Ref_AccountRules,$L402,4))</f>
        <v/>
      </c>
      <c r="K402" s="1" t="str">
        <f>IF($L402="","",INDEX(Ref_AccountRules,$L402,5))</f>
        <v/>
      </c>
      <c r="L402" s="1" t="str">
        <f t="shared" si="27"/>
        <v/>
      </c>
    </row>
    <row r="403" spans="2:12" x14ac:dyDescent="0.35">
      <c r="B403" s="12"/>
      <c r="C403" s="11"/>
      <c r="D403" s="11"/>
      <c r="E403" s="11"/>
      <c r="F403" s="1" t="str">
        <f t="shared" si="24"/>
        <v/>
      </c>
      <c r="G403" s="1" t="str">
        <f t="shared" si="25"/>
        <v/>
      </c>
      <c r="H403" s="1" t="str">
        <f t="shared" si="26"/>
        <v/>
      </c>
      <c r="I403" s="1" t="str">
        <f>IF($L403="","",INDEX(Ref_AccountRules,$L403,3))</f>
        <v/>
      </c>
      <c r="J403" s="1" t="str">
        <f>IF($L403="","",INDEX(Ref_AccountRules,$L403,4))</f>
        <v/>
      </c>
      <c r="K403" s="1" t="str">
        <f>IF($L403="","",INDEX(Ref_AccountRules,$L403,5))</f>
        <v/>
      </c>
      <c r="L403" s="1" t="str">
        <f t="shared" si="27"/>
        <v/>
      </c>
    </row>
    <row r="404" spans="2:12" x14ac:dyDescent="0.35">
      <c r="B404" s="12"/>
      <c r="C404" s="11"/>
      <c r="D404" s="11"/>
      <c r="E404" s="11"/>
      <c r="F404" s="1" t="str">
        <f t="shared" si="24"/>
        <v/>
      </c>
      <c r="G404" s="1" t="str">
        <f t="shared" si="25"/>
        <v/>
      </c>
      <c r="H404" s="1" t="str">
        <f t="shared" si="26"/>
        <v/>
      </c>
      <c r="I404" s="1" t="str">
        <f>IF($L404="","",INDEX(Ref_AccountRules,$L404,3))</f>
        <v/>
      </c>
      <c r="J404" s="1" t="str">
        <f>IF($L404="","",INDEX(Ref_AccountRules,$L404,4))</f>
        <v/>
      </c>
      <c r="K404" s="1" t="str">
        <f>IF($L404="","",INDEX(Ref_AccountRules,$L404,5))</f>
        <v/>
      </c>
      <c r="L404" s="1" t="str">
        <f t="shared" si="27"/>
        <v/>
      </c>
    </row>
    <row r="405" spans="2:12" x14ac:dyDescent="0.35">
      <c r="B405" s="12"/>
      <c r="C405" s="11"/>
      <c r="D405" s="11"/>
      <c r="E405" s="11"/>
      <c r="F405" s="1" t="str">
        <f t="shared" si="24"/>
        <v/>
      </c>
      <c r="G405" s="1" t="str">
        <f t="shared" si="25"/>
        <v/>
      </c>
      <c r="H405" s="1" t="str">
        <f t="shared" si="26"/>
        <v/>
      </c>
      <c r="I405" s="1" t="str">
        <f>IF($L405="","",INDEX(Ref_AccountRules,$L405,3))</f>
        <v/>
      </c>
      <c r="J405" s="1" t="str">
        <f>IF($L405="","",INDEX(Ref_AccountRules,$L405,4))</f>
        <v/>
      </c>
      <c r="K405" s="1" t="str">
        <f>IF($L405="","",INDEX(Ref_AccountRules,$L405,5))</f>
        <v/>
      </c>
      <c r="L405" s="1" t="str">
        <f t="shared" si="27"/>
        <v/>
      </c>
    </row>
    <row r="406" spans="2:12" x14ac:dyDescent="0.35">
      <c r="B406" s="12"/>
      <c r="C406" s="11"/>
      <c r="D406" s="11"/>
      <c r="E406" s="11"/>
      <c r="F406" s="1" t="str">
        <f t="shared" si="24"/>
        <v/>
      </c>
      <c r="G406" s="1" t="str">
        <f t="shared" si="25"/>
        <v/>
      </c>
      <c r="H406" s="1" t="str">
        <f t="shared" si="26"/>
        <v/>
      </c>
      <c r="I406" s="1" t="str">
        <f>IF($L406="","",INDEX(Ref_AccountRules,$L406,3))</f>
        <v/>
      </c>
      <c r="J406" s="1" t="str">
        <f>IF($L406="","",INDEX(Ref_AccountRules,$L406,4))</f>
        <v/>
      </c>
      <c r="K406" s="1" t="str">
        <f>IF($L406="","",INDEX(Ref_AccountRules,$L406,5))</f>
        <v/>
      </c>
      <c r="L406" s="1" t="str">
        <f t="shared" si="27"/>
        <v/>
      </c>
    </row>
    <row r="407" spans="2:12" x14ac:dyDescent="0.35">
      <c r="B407" s="12"/>
      <c r="C407" s="11"/>
      <c r="D407" s="11"/>
      <c r="E407" s="11"/>
      <c r="F407" s="1" t="str">
        <f t="shared" si="24"/>
        <v/>
      </c>
      <c r="G407" s="1" t="str">
        <f t="shared" si="25"/>
        <v/>
      </c>
      <c r="H407" s="1" t="str">
        <f t="shared" si="26"/>
        <v/>
      </c>
      <c r="I407" s="1" t="str">
        <f>IF($L407="","",INDEX(Ref_AccountRules,$L407,3))</f>
        <v/>
      </c>
      <c r="J407" s="1" t="str">
        <f>IF($L407="","",INDEX(Ref_AccountRules,$L407,4))</f>
        <v/>
      </c>
      <c r="K407" s="1" t="str">
        <f>IF($L407="","",INDEX(Ref_AccountRules,$L407,5))</f>
        <v/>
      </c>
      <c r="L407" s="1" t="str">
        <f t="shared" si="27"/>
        <v/>
      </c>
    </row>
    <row r="408" spans="2:12" x14ac:dyDescent="0.35">
      <c r="B408" s="12"/>
      <c r="C408" s="11"/>
      <c r="D408" s="11"/>
      <c r="E408" s="11"/>
      <c r="F408" s="1" t="str">
        <f t="shared" si="24"/>
        <v/>
      </c>
      <c r="G408" s="1" t="str">
        <f t="shared" si="25"/>
        <v/>
      </c>
      <c r="H408" s="1" t="str">
        <f t="shared" si="26"/>
        <v/>
      </c>
      <c r="I408" s="1" t="str">
        <f>IF($L408="","",INDEX(Ref_AccountRules,$L408,3))</f>
        <v/>
      </c>
      <c r="J408" s="1" t="str">
        <f>IF($L408="","",INDEX(Ref_AccountRules,$L408,4))</f>
        <v/>
      </c>
      <c r="K408" s="1" t="str">
        <f>IF($L408="","",INDEX(Ref_AccountRules,$L408,5))</f>
        <v/>
      </c>
      <c r="L408" s="1" t="str">
        <f t="shared" si="27"/>
        <v/>
      </c>
    </row>
    <row r="409" spans="2:12" x14ac:dyDescent="0.35">
      <c r="B409" s="12"/>
      <c r="C409" s="11"/>
      <c r="D409" s="11"/>
      <c r="E409" s="11"/>
      <c r="F409" s="1" t="str">
        <f t="shared" si="24"/>
        <v/>
      </c>
      <c r="G409" s="1" t="str">
        <f t="shared" si="25"/>
        <v/>
      </c>
      <c r="H409" s="1" t="str">
        <f t="shared" si="26"/>
        <v/>
      </c>
      <c r="I409" s="1" t="str">
        <f>IF($L409="","",INDEX(Ref_AccountRules,$L409,3))</f>
        <v/>
      </c>
      <c r="J409" s="1" t="str">
        <f>IF($L409="","",INDEX(Ref_AccountRules,$L409,4))</f>
        <v/>
      </c>
      <c r="K409" s="1" t="str">
        <f>IF($L409="","",INDEX(Ref_AccountRules,$L409,5))</f>
        <v/>
      </c>
      <c r="L409" s="1" t="str">
        <f t="shared" si="27"/>
        <v/>
      </c>
    </row>
    <row r="410" spans="2:12" x14ac:dyDescent="0.35">
      <c r="B410" s="12"/>
      <c r="C410" s="11"/>
      <c r="D410" s="11"/>
      <c r="E410" s="11"/>
      <c r="F410" s="1" t="str">
        <f t="shared" si="24"/>
        <v/>
      </c>
      <c r="G410" s="1" t="str">
        <f t="shared" si="25"/>
        <v/>
      </c>
      <c r="H410" s="1" t="str">
        <f t="shared" si="26"/>
        <v/>
      </c>
      <c r="I410" s="1" t="str">
        <f>IF($L410="","",INDEX(Ref_AccountRules,$L410,3))</f>
        <v/>
      </c>
      <c r="J410" s="1" t="str">
        <f>IF($L410="","",INDEX(Ref_AccountRules,$L410,4))</f>
        <v/>
      </c>
      <c r="K410" s="1" t="str">
        <f>IF($L410="","",INDEX(Ref_AccountRules,$L410,5))</f>
        <v/>
      </c>
      <c r="L410" s="1" t="str">
        <f t="shared" si="27"/>
        <v/>
      </c>
    </row>
    <row r="411" spans="2:12" x14ac:dyDescent="0.35">
      <c r="B411" s="12"/>
      <c r="C411" s="11"/>
      <c r="D411" s="11"/>
      <c r="E411" s="11"/>
      <c r="F411" s="1" t="str">
        <f t="shared" si="24"/>
        <v/>
      </c>
      <c r="G411" s="1" t="str">
        <f t="shared" si="25"/>
        <v/>
      </c>
      <c r="H411" s="1" t="str">
        <f t="shared" si="26"/>
        <v/>
      </c>
      <c r="I411" s="1" t="str">
        <f>IF($L411="","",INDEX(Ref_AccountRules,$L411,3))</f>
        <v/>
      </c>
      <c r="J411" s="1" t="str">
        <f>IF($L411="","",INDEX(Ref_AccountRules,$L411,4))</f>
        <v/>
      </c>
      <c r="K411" s="1" t="str">
        <f>IF($L411="","",INDEX(Ref_AccountRules,$L411,5))</f>
        <v/>
      </c>
      <c r="L411" s="1" t="str">
        <f t="shared" si="27"/>
        <v/>
      </c>
    </row>
    <row r="412" spans="2:12" x14ac:dyDescent="0.35">
      <c r="B412" s="12"/>
      <c r="C412" s="11"/>
      <c r="D412" s="11"/>
      <c r="E412" s="11"/>
      <c r="F412" s="1" t="str">
        <f t="shared" si="24"/>
        <v/>
      </c>
      <c r="G412" s="1" t="str">
        <f t="shared" si="25"/>
        <v/>
      </c>
      <c r="H412" s="1" t="str">
        <f t="shared" si="26"/>
        <v/>
      </c>
      <c r="I412" s="1" t="str">
        <f>IF($L412="","",INDEX(Ref_AccountRules,$L412,3))</f>
        <v/>
      </c>
      <c r="J412" s="1" t="str">
        <f>IF($L412="","",INDEX(Ref_AccountRules,$L412,4))</f>
        <v/>
      </c>
      <c r="K412" s="1" t="str">
        <f>IF($L412="","",INDEX(Ref_AccountRules,$L412,5))</f>
        <v/>
      </c>
      <c r="L412" s="1" t="str">
        <f t="shared" si="27"/>
        <v/>
      </c>
    </row>
    <row r="413" spans="2:12" x14ac:dyDescent="0.35">
      <c r="B413" s="12"/>
      <c r="C413" s="11"/>
      <c r="D413" s="11"/>
      <c r="E413" s="11"/>
      <c r="F413" s="1" t="str">
        <f t="shared" si="24"/>
        <v/>
      </c>
      <c r="G413" s="1" t="str">
        <f t="shared" si="25"/>
        <v/>
      </c>
      <c r="H413" s="1" t="str">
        <f t="shared" si="26"/>
        <v/>
      </c>
      <c r="I413" s="1" t="str">
        <f>IF($L413="","",INDEX(Ref_AccountRules,$L413,3))</f>
        <v/>
      </c>
      <c r="J413" s="1" t="str">
        <f>IF($L413="","",INDEX(Ref_AccountRules,$L413,4))</f>
        <v/>
      </c>
      <c r="K413" s="1" t="str">
        <f>IF($L413="","",INDEX(Ref_AccountRules,$L413,5))</f>
        <v/>
      </c>
      <c r="L413" s="1" t="str">
        <f t="shared" si="27"/>
        <v/>
      </c>
    </row>
    <row r="414" spans="2:12" x14ac:dyDescent="0.35">
      <c r="B414" s="12"/>
      <c r="C414" s="11"/>
      <c r="D414" s="11"/>
      <c r="E414" s="11"/>
      <c r="F414" s="1" t="str">
        <f t="shared" si="24"/>
        <v/>
      </c>
      <c r="G414" s="1" t="str">
        <f t="shared" si="25"/>
        <v/>
      </c>
      <c r="H414" s="1" t="str">
        <f t="shared" si="26"/>
        <v/>
      </c>
      <c r="I414" s="1" t="str">
        <f>IF($L414="","",INDEX(Ref_AccountRules,$L414,3))</f>
        <v/>
      </c>
      <c r="J414" s="1" t="str">
        <f>IF($L414="","",INDEX(Ref_AccountRules,$L414,4))</f>
        <v/>
      </c>
      <c r="K414" s="1" t="str">
        <f>IF($L414="","",INDEX(Ref_AccountRules,$L414,5))</f>
        <v/>
      </c>
      <c r="L414" s="1" t="str">
        <f t="shared" si="27"/>
        <v/>
      </c>
    </row>
    <row r="415" spans="2:12" x14ac:dyDescent="0.35">
      <c r="B415" s="12"/>
      <c r="C415" s="11"/>
      <c r="D415" s="11"/>
      <c r="E415" s="11"/>
      <c r="F415" s="1" t="str">
        <f t="shared" si="24"/>
        <v/>
      </c>
      <c r="G415" s="1" t="str">
        <f t="shared" si="25"/>
        <v/>
      </c>
      <c r="H415" s="1" t="str">
        <f t="shared" si="26"/>
        <v/>
      </c>
      <c r="I415" s="1" t="str">
        <f>IF($L415="","",INDEX(Ref_AccountRules,$L415,3))</f>
        <v/>
      </c>
      <c r="J415" s="1" t="str">
        <f>IF($L415="","",INDEX(Ref_AccountRules,$L415,4))</f>
        <v/>
      </c>
      <c r="K415" s="1" t="str">
        <f>IF($L415="","",INDEX(Ref_AccountRules,$L415,5))</f>
        <v/>
      </c>
      <c r="L415" s="1" t="str">
        <f t="shared" si="27"/>
        <v/>
      </c>
    </row>
    <row r="416" spans="2:12" x14ac:dyDescent="0.35">
      <c r="B416" s="12"/>
      <c r="C416" s="11"/>
      <c r="D416" s="11"/>
      <c r="E416" s="11"/>
      <c r="F416" s="1" t="str">
        <f t="shared" si="24"/>
        <v/>
      </c>
      <c r="G416" s="1" t="str">
        <f t="shared" si="25"/>
        <v/>
      </c>
      <c r="H416" s="1" t="str">
        <f t="shared" si="26"/>
        <v/>
      </c>
      <c r="I416" s="1" t="str">
        <f>IF($L416="","",INDEX(Ref_AccountRules,$L416,3))</f>
        <v/>
      </c>
      <c r="J416" s="1" t="str">
        <f>IF($L416="","",INDEX(Ref_AccountRules,$L416,4))</f>
        <v/>
      </c>
      <c r="K416" s="1" t="str">
        <f>IF($L416="","",INDEX(Ref_AccountRules,$L416,5))</f>
        <v/>
      </c>
      <c r="L416" s="1" t="str">
        <f t="shared" si="27"/>
        <v/>
      </c>
    </row>
    <row r="417" spans="2:12" x14ac:dyDescent="0.35">
      <c r="B417" s="12"/>
      <c r="C417" s="11"/>
      <c r="D417" s="11"/>
      <c r="E417" s="11"/>
      <c r="F417" s="1" t="str">
        <f t="shared" si="24"/>
        <v/>
      </c>
      <c r="G417" s="1" t="str">
        <f t="shared" si="25"/>
        <v/>
      </c>
      <c r="H417" s="1" t="str">
        <f t="shared" si="26"/>
        <v/>
      </c>
      <c r="I417" s="1" t="str">
        <f>IF($L417="","",INDEX(Ref_AccountRules,$L417,3))</f>
        <v/>
      </c>
      <c r="J417" s="1" t="str">
        <f>IF($L417="","",INDEX(Ref_AccountRules,$L417,4))</f>
        <v/>
      </c>
      <c r="K417" s="1" t="str">
        <f>IF($L417="","",INDEX(Ref_AccountRules,$L417,5))</f>
        <v/>
      </c>
      <c r="L417" s="1" t="str">
        <f t="shared" si="27"/>
        <v/>
      </c>
    </row>
    <row r="418" spans="2:12" x14ac:dyDescent="0.35">
      <c r="B418" s="12"/>
      <c r="C418" s="11"/>
      <c r="D418" s="11"/>
      <c r="E418" s="11"/>
      <c r="F418" s="1" t="str">
        <f t="shared" si="24"/>
        <v/>
      </c>
      <c r="G418" s="1" t="str">
        <f t="shared" si="25"/>
        <v/>
      </c>
      <c r="H418" s="1" t="str">
        <f t="shared" si="26"/>
        <v/>
      </c>
      <c r="I418" s="1" t="str">
        <f>IF($L418="","",INDEX(Ref_AccountRules,$L418,3))</f>
        <v/>
      </c>
      <c r="J418" s="1" t="str">
        <f>IF($L418="","",INDEX(Ref_AccountRules,$L418,4))</f>
        <v/>
      </c>
      <c r="K418" s="1" t="str">
        <f>IF($L418="","",INDEX(Ref_AccountRules,$L418,5))</f>
        <v/>
      </c>
      <c r="L418" s="1" t="str">
        <f t="shared" si="27"/>
        <v/>
      </c>
    </row>
    <row r="419" spans="2:12" x14ac:dyDescent="0.35">
      <c r="B419" s="12"/>
      <c r="C419" s="11"/>
      <c r="D419" s="11"/>
      <c r="E419" s="11"/>
      <c r="F419" s="1" t="str">
        <f t="shared" si="24"/>
        <v/>
      </c>
      <c r="G419" s="1" t="str">
        <f t="shared" si="25"/>
        <v/>
      </c>
      <c r="H419" s="1" t="str">
        <f t="shared" si="26"/>
        <v/>
      </c>
      <c r="I419" s="1" t="str">
        <f>IF($L419="","",INDEX(Ref_AccountRules,$L419,3))</f>
        <v/>
      </c>
      <c r="J419" s="1" t="str">
        <f>IF($L419="","",INDEX(Ref_AccountRules,$L419,4))</f>
        <v/>
      </c>
      <c r="K419" s="1" t="str">
        <f>IF($L419="","",INDEX(Ref_AccountRules,$L419,5))</f>
        <v/>
      </c>
      <c r="L419" s="1" t="str">
        <f t="shared" si="27"/>
        <v/>
      </c>
    </row>
    <row r="420" spans="2:12" x14ac:dyDescent="0.35">
      <c r="B420" s="12"/>
      <c r="C420" s="11"/>
      <c r="D420" s="11"/>
      <c r="E420" s="11"/>
      <c r="F420" s="1" t="str">
        <f t="shared" si="24"/>
        <v/>
      </c>
      <c r="G420" s="1" t="str">
        <f t="shared" si="25"/>
        <v/>
      </c>
      <c r="H420" s="1" t="str">
        <f t="shared" si="26"/>
        <v/>
      </c>
      <c r="I420" s="1" t="str">
        <f>IF($L420="","",INDEX(Ref_AccountRules,$L420,3))</f>
        <v/>
      </c>
      <c r="J420" s="1" t="str">
        <f>IF($L420="","",INDEX(Ref_AccountRules,$L420,4))</f>
        <v/>
      </c>
      <c r="K420" s="1" t="str">
        <f>IF($L420="","",INDEX(Ref_AccountRules,$L420,5))</f>
        <v/>
      </c>
      <c r="L420" s="1" t="str">
        <f t="shared" si="27"/>
        <v/>
      </c>
    </row>
    <row r="421" spans="2:12" x14ac:dyDescent="0.35">
      <c r="B421" s="12"/>
      <c r="C421" s="11"/>
      <c r="D421" s="11"/>
      <c r="E421" s="11"/>
      <c r="F421" s="1" t="str">
        <f t="shared" si="24"/>
        <v/>
      </c>
      <c r="G421" s="1" t="str">
        <f t="shared" si="25"/>
        <v/>
      </c>
      <c r="H421" s="1" t="str">
        <f t="shared" si="26"/>
        <v/>
      </c>
      <c r="I421" s="1" t="str">
        <f>IF($L421="","",INDEX(Ref_AccountRules,$L421,3))</f>
        <v/>
      </c>
      <c r="J421" s="1" t="str">
        <f>IF($L421="","",INDEX(Ref_AccountRules,$L421,4))</f>
        <v/>
      </c>
      <c r="K421" s="1" t="str">
        <f>IF($L421="","",INDEX(Ref_AccountRules,$L421,5))</f>
        <v/>
      </c>
      <c r="L421" s="1" t="str">
        <f t="shared" si="27"/>
        <v/>
      </c>
    </row>
    <row r="422" spans="2:12" x14ac:dyDescent="0.35">
      <c r="B422" s="12"/>
      <c r="C422" s="11"/>
      <c r="D422" s="11"/>
      <c r="E422" s="11"/>
      <c r="F422" s="1" t="str">
        <f t="shared" si="24"/>
        <v/>
      </c>
      <c r="G422" s="1" t="str">
        <f t="shared" si="25"/>
        <v/>
      </c>
      <c r="H422" s="1" t="str">
        <f t="shared" si="26"/>
        <v/>
      </c>
      <c r="I422" s="1" t="str">
        <f>IF($L422="","",INDEX(Ref_AccountRules,$L422,3))</f>
        <v/>
      </c>
      <c r="J422" s="1" t="str">
        <f>IF($L422="","",INDEX(Ref_AccountRules,$L422,4))</f>
        <v/>
      </c>
      <c r="K422" s="1" t="str">
        <f>IF($L422="","",INDEX(Ref_AccountRules,$L422,5))</f>
        <v/>
      </c>
      <c r="L422" s="1" t="str">
        <f t="shared" si="27"/>
        <v/>
      </c>
    </row>
    <row r="423" spans="2:12" x14ac:dyDescent="0.35">
      <c r="B423" s="12"/>
      <c r="C423" s="11"/>
      <c r="D423" s="11"/>
      <c r="E423" s="11"/>
      <c r="F423" s="1" t="str">
        <f t="shared" si="24"/>
        <v/>
      </c>
      <c r="G423" s="1" t="str">
        <f t="shared" si="25"/>
        <v/>
      </c>
      <c r="H423" s="1" t="str">
        <f t="shared" si="26"/>
        <v/>
      </c>
      <c r="I423" s="1" t="str">
        <f>IF($L423="","",INDEX(Ref_AccountRules,$L423,3))</f>
        <v/>
      </c>
      <c r="J423" s="1" t="str">
        <f>IF($L423="","",INDEX(Ref_AccountRules,$L423,4))</f>
        <v/>
      </c>
      <c r="K423" s="1" t="str">
        <f>IF($L423="","",INDEX(Ref_AccountRules,$L423,5))</f>
        <v/>
      </c>
      <c r="L423" s="1" t="str">
        <f t="shared" si="27"/>
        <v/>
      </c>
    </row>
    <row r="424" spans="2:12" x14ac:dyDescent="0.35">
      <c r="B424" s="12"/>
      <c r="C424" s="11"/>
      <c r="D424" s="11"/>
      <c r="E424" s="11"/>
      <c r="F424" s="1" t="str">
        <f t="shared" si="24"/>
        <v/>
      </c>
      <c r="G424" s="1" t="str">
        <f t="shared" si="25"/>
        <v/>
      </c>
      <c r="H424" s="1" t="str">
        <f t="shared" si="26"/>
        <v/>
      </c>
      <c r="I424" s="1" t="str">
        <f>IF($L424="","",INDEX(Ref_AccountRules,$L424,3))</f>
        <v/>
      </c>
      <c r="J424" s="1" t="str">
        <f>IF($L424="","",INDEX(Ref_AccountRules,$L424,4))</f>
        <v/>
      </c>
      <c r="K424" s="1" t="str">
        <f>IF($L424="","",INDEX(Ref_AccountRules,$L424,5))</f>
        <v/>
      </c>
      <c r="L424" s="1" t="str">
        <f t="shared" si="27"/>
        <v/>
      </c>
    </row>
    <row r="425" spans="2:12" x14ac:dyDescent="0.35">
      <c r="B425" s="12"/>
      <c r="C425" s="11"/>
      <c r="D425" s="11"/>
      <c r="E425" s="11"/>
      <c r="F425" s="1" t="str">
        <f t="shared" si="24"/>
        <v/>
      </c>
      <c r="G425" s="1" t="str">
        <f t="shared" si="25"/>
        <v/>
      </c>
      <c r="H425" s="1" t="str">
        <f t="shared" si="26"/>
        <v/>
      </c>
      <c r="I425" s="1" t="str">
        <f>IF($L425="","",INDEX(Ref_AccountRules,$L425,3))</f>
        <v/>
      </c>
      <c r="J425" s="1" t="str">
        <f>IF($L425="","",INDEX(Ref_AccountRules,$L425,4))</f>
        <v/>
      </c>
      <c r="K425" s="1" t="str">
        <f>IF($L425="","",INDEX(Ref_AccountRules,$L425,5))</f>
        <v/>
      </c>
      <c r="L425" s="1" t="str">
        <f t="shared" si="27"/>
        <v/>
      </c>
    </row>
    <row r="426" spans="2:12" x14ac:dyDescent="0.35">
      <c r="B426" s="12"/>
      <c r="C426" s="11"/>
      <c r="D426" s="11"/>
      <c r="E426" s="11"/>
      <c r="F426" s="1" t="str">
        <f t="shared" si="24"/>
        <v/>
      </c>
      <c r="G426" s="1" t="str">
        <f t="shared" si="25"/>
        <v/>
      </c>
      <c r="H426" s="1" t="str">
        <f t="shared" si="26"/>
        <v/>
      </c>
      <c r="I426" s="1" t="str">
        <f>IF($L426="","",INDEX(Ref_AccountRules,$L426,3))</f>
        <v/>
      </c>
      <c r="J426" s="1" t="str">
        <f>IF($L426="","",INDEX(Ref_AccountRules,$L426,4))</f>
        <v/>
      </c>
      <c r="K426" s="1" t="str">
        <f>IF($L426="","",INDEX(Ref_AccountRules,$L426,5))</f>
        <v/>
      </c>
      <c r="L426" s="1" t="str">
        <f t="shared" si="27"/>
        <v/>
      </c>
    </row>
    <row r="427" spans="2:12" x14ac:dyDescent="0.35">
      <c r="B427" s="12"/>
      <c r="C427" s="11"/>
      <c r="D427" s="11"/>
      <c r="E427" s="11"/>
      <c r="F427" s="1" t="str">
        <f t="shared" si="24"/>
        <v/>
      </c>
      <c r="G427" s="1" t="str">
        <f t="shared" si="25"/>
        <v/>
      </c>
      <c r="H427" s="1" t="str">
        <f t="shared" si="26"/>
        <v/>
      </c>
      <c r="I427" s="1" t="str">
        <f>IF($L427="","",INDEX(Ref_AccountRules,$L427,3))</f>
        <v/>
      </c>
      <c r="J427" s="1" t="str">
        <f>IF($L427="","",INDEX(Ref_AccountRules,$L427,4))</f>
        <v/>
      </c>
      <c r="K427" s="1" t="str">
        <f>IF($L427="","",INDEX(Ref_AccountRules,$L427,5))</f>
        <v/>
      </c>
      <c r="L427" s="1" t="str">
        <f t="shared" si="27"/>
        <v/>
      </c>
    </row>
    <row r="428" spans="2:12" x14ac:dyDescent="0.35">
      <c r="B428" s="12"/>
      <c r="C428" s="11"/>
      <c r="D428" s="11"/>
      <c r="E428" s="11"/>
      <c r="F428" s="1" t="str">
        <f t="shared" si="24"/>
        <v/>
      </c>
      <c r="G428" s="1" t="str">
        <f t="shared" si="25"/>
        <v/>
      </c>
      <c r="H428" s="1" t="str">
        <f t="shared" si="26"/>
        <v/>
      </c>
      <c r="I428" s="1" t="str">
        <f>IF($L428="","",INDEX(Ref_AccountRules,$L428,3))</f>
        <v/>
      </c>
      <c r="J428" s="1" t="str">
        <f>IF($L428="","",INDEX(Ref_AccountRules,$L428,4))</f>
        <v/>
      </c>
      <c r="K428" s="1" t="str">
        <f>IF($L428="","",INDEX(Ref_AccountRules,$L428,5))</f>
        <v/>
      </c>
      <c r="L428" s="1" t="str">
        <f t="shared" si="27"/>
        <v/>
      </c>
    </row>
    <row r="429" spans="2:12" x14ac:dyDescent="0.35">
      <c r="B429" s="12"/>
      <c r="C429" s="11"/>
      <c r="D429" s="11"/>
      <c r="E429" s="11"/>
      <c r="F429" s="1" t="str">
        <f t="shared" si="24"/>
        <v/>
      </c>
      <c r="G429" s="1" t="str">
        <f t="shared" si="25"/>
        <v/>
      </c>
      <c r="H429" s="1" t="str">
        <f t="shared" si="26"/>
        <v/>
      </c>
      <c r="I429" s="1" t="str">
        <f>IF($L429="","",INDEX(Ref_AccountRules,$L429,3))</f>
        <v/>
      </c>
      <c r="J429" s="1" t="str">
        <f>IF($L429="","",INDEX(Ref_AccountRules,$L429,4))</f>
        <v/>
      </c>
      <c r="K429" s="1" t="str">
        <f>IF($L429="","",INDEX(Ref_AccountRules,$L429,5))</f>
        <v/>
      </c>
      <c r="L429" s="1" t="str">
        <f t="shared" si="27"/>
        <v/>
      </c>
    </row>
    <row r="430" spans="2:12" x14ac:dyDescent="0.35">
      <c r="B430" s="12"/>
      <c r="C430" s="11"/>
      <c r="D430" s="11"/>
      <c r="E430" s="11"/>
      <c r="F430" s="1" t="str">
        <f t="shared" si="24"/>
        <v/>
      </c>
      <c r="G430" s="1" t="str">
        <f t="shared" si="25"/>
        <v/>
      </c>
      <c r="H430" s="1" t="str">
        <f t="shared" si="26"/>
        <v/>
      </c>
      <c r="I430" s="1" t="str">
        <f>IF($L430="","",INDEX(Ref_AccountRules,$L430,3))</f>
        <v/>
      </c>
      <c r="J430" s="1" t="str">
        <f>IF($L430="","",INDEX(Ref_AccountRules,$L430,4))</f>
        <v/>
      </c>
      <c r="K430" s="1" t="str">
        <f>IF($L430="","",INDEX(Ref_AccountRules,$L430,5))</f>
        <v/>
      </c>
      <c r="L430" s="1" t="str">
        <f t="shared" si="27"/>
        <v/>
      </c>
    </row>
    <row r="431" spans="2:12" x14ac:dyDescent="0.35">
      <c r="B431" s="12"/>
      <c r="C431" s="11"/>
      <c r="D431" s="11"/>
      <c r="E431" s="11"/>
      <c r="F431" s="1" t="str">
        <f t="shared" si="24"/>
        <v/>
      </c>
      <c r="G431" s="1" t="str">
        <f t="shared" si="25"/>
        <v/>
      </c>
      <c r="H431" s="1" t="str">
        <f t="shared" si="26"/>
        <v/>
      </c>
      <c r="I431" s="1" t="str">
        <f>IF($L431="","",INDEX(Ref_AccountRules,$L431,3))</f>
        <v/>
      </c>
      <c r="J431" s="1" t="str">
        <f>IF($L431="","",INDEX(Ref_AccountRules,$L431,4))</f>
        <v/>
      </c>
      <c r="K431" s="1" t="str">
        <f>IF($L431="","",INDEX(Ref_AccountRules,$L431,5))</f>
        <v/>
      </c>
      <c r="L431" s="1" t="str">
        <f t="shared" si="27"/>
        <v/>
      </c>
    </row>
    <row r="432" spans="2:12" x14ac:dyDescent="0.35">
      <c r="B432" s="12"/>
      <c r="C432" s="11"/>
      <c r="D432" s="11"/>
      <c r="E432" s="11"/>
      <c r="F432" s="1" t="str">
        <f t="shared" si="24"/>
        <v/>
      </c>
      <c r="G432" s="1" t="str">
        <f t="shared" si="25"/>
        <v/>
      </c>
      <c r="H432" s="1" t="str">
        <f t="shared" si="26"/>
        <v/>
      </c>
      <c r="I432" s="1" t="str">
        <f>IF($L432="","",INDEX(Ref_AccountRules,$L432,3))</f>
        <v/>
      </c>
      <c r="J432" s="1" t="str">
        <f>IF($L432="","",INDEX(Ref_AccountRules,$L432,4))</f>
        <v/>
      </c>
      <c r="K432" s="1" t="str">
        <f>IF($L432="","",INDEX(Ref_AccountRules,$L432,5))</f>
        <v/>
      </c>
      <c r="L432" s="1" t="str">
        <f t="shared" si="27"/>
        <v/>
      </c>
    </row>
    <row r="433" spans="2:12" x14ac:dyDescent="0.35">
      <c r="B433" s="12"/>
      <c r="C433" s="11"/>
      <c r="D433" s="11"/>
      <c r="E433" s="11"/>
      <c r="F433" s="1" t="str">
        <f t="shared" si="24"/>
        <v/>
      </c>
      <c r="G433" s="1" t="str">
        <f t="shared" si="25"/>
        <v/>
      </c>
      <c r="H433" s="1" t="str">
        <f t="shared" si="26"/>
        <v/>
      </c>
      <c r="I433" s="1" t="str">
        <f>IF($L433="","",INDEX(Ref_AccountRules,$L433,3))</f>
        <v/>
      </c>
      <c r="J433" s="1" t="str">
        <f>IF($L433="","",INDEX(Ref_AccountRules,$L433,4))</f>
        <v/>
      </c>
      <c r="K433" s="1" t="str">
        <f>IF($L433="","",INDEX(Ref_AccountRules,$L433,5))</f>
        <v/>
      </c>
      <c r="L433" s="1" t="str">
        <f t="shared" si="27"/>
        <v/>
      </c>
    </row>
    <row r="434" spans="2:12" x14ac:dyDescent="0.35">
      <c r="B434" s="12"/>
      <c r="C434" s="11"/>
      <c r="D434" s="11"/>
      <c r="E434" s="11"/>
      <c r="F434" s="1" t="str">
        <f t="shared" si="24"/>
        <v/>
      </c>
      <c r="G434" s="1" t="str">
        <f t="shared" si="25"/>
        <v/>
      </c>
      <c r="H434" s="1" t="str">
        <f t="shared" si="26"/>
        <v/>
      </c>
      <c r="I434" s="1" t="str">
        <f>IF($L434="","",INDEX(Ref_AccountRules,$L434,3))</f>
        <v/>
      </c>
      <c r="J434" s="1" t="str">
        <f>IF($L434="","",INDEX(Ref_AccountRules,$L434,4))</f>
        <v/>
      </c>
      <c r="K434" s="1" t="str">
        <f>IF($L434="","",INDEX(Ref_AccountRules,$L434,5))</f>
        <v/>
      </c>
      <c r="L434" s="1" t="str">
        <f t="shared" si="27"/>
        <v/>
      </c>
    </row>
    <row r="435" spans="2:12" x14ac:dyDescent="0.35">
      <c r="B435" s="12"/>
      <c r="C435" s="11"/>
      <c r="D435" s="11"/>
      <c r="E435" s="11"/>
      <c r="F435" s="1" t="str">
        <f t="shared" si="24"/>
        <v/>
      </c>
      <c r="G435" s="1" t="str">
        <f t="shared" si="25"/>
        <v/>
      </c>
      <c r="H435" s="1" t="str">
        <f t="shared" si="26"/>
        <v/>
      </c>
      <c r="I435" s="1" t="str">
        <f>IF($L435="","",INDEX(Ref_AccountRules,$L435,3))</f>
        <v/>
      </c>
      <c r="J435" s="1" t="str">
        <f>IF($L435="","",INDEX(Ref_AccountRules,$L435,4))</f>
        <v/>
      </c>
      <c r="K435" s="1" t="str">
        <f>IF($L435="","",INDEX(Ref_AccountRules,$L435,5))</f>
        <v/>
      </c>
      <c r="L435" s="1" t="str">
        <f t="shared" si="27"/>
        <v/>
      </c>
    </row>
    <row r="436" spans="2:12" x14ac:dyDescent="0.35">
      <c r="B436" s="12"/>
      <c r="C436" s="11"/>
      <c r="D436" s="11"/>
      <c r="E436" s="11"/>
      <c r="F436" s="1" t="str">
        <f t="shared" si="24"/>
        <v/>
      </c>
      <c r="G436" s="1" t="str">
        <f t="shared" si="25"/>
        <v/>
      </c>
      <c r="H436" s="1" t="str">
        <f t="shared" si="26"/>
        <v/>
      </c>
      <c r="I436" s="1" t="str">
        <f>IF($L436="","",INDEX(Ref_AccountRules,$L436,3))</f>
        <v/>
      </c>
      <c r="J436" s="1" t="str">
        <f>IF($L436="","",INDEX(Ref_AccountRules,$L436,4))</f>
        <v/>
      </c>
      <c r="K436" s="1" t="str">
        <f>IF($L436="","",INDEX(Ref_AccountRules,$L436,5))</f>
        <v/>
      </c>
      <c r="L436" s="1" t="str">
        <f t="shared" si="27"/>
        <v/>
      </c>
    </row>
    <row r="437" spans="2:12" x14ac:dyDescent="0.35">
      <c r="B437" s="12"/>
      <c r="C437" s="11"/>
      <c r="D437" s="11"/>
      <c r="E437" s="11"/>
      <c r="F437" s="1" t="str">
        <f t="shared" si="24"/>
        <v/>
      </c>
      <c r="G437" s="1" t="str">
        <f t="shared" si="25"/>
        <v/>
      </c>
      <c r="H437" s="1" t="str">
        <f t="shared" si="26"/>
        <v/>
      </c>
      <c r="I437" s="1" t="str">
        <f>IF($L437="","",INDEX(Ref_AccountRules,$L437,3))</f>
        <v/>
      </c>
      <c r="J437" s="1" t="str">
        <f>IF($L437="","",INDEX(Ref_AccountRules,$L437,4))</f>
        <v/>
      </c>
      <c r="K437" s="1" t="str">
        <f>IF($L437="","",INDEX(Ref_AccountRules,$L437,5))</f>
        <v/>
      </c>
      <c r="L437" s="1" t="str">
        <f t="shared" si="27"/>
        <v/>
      </c>
    </row>
    <row r="438" spans="2:12" x14ac:dyDescent="0.35">
      <c r="B438" s="12"/>
      <c r="C438" s="11"/>
      <c r="D438" s="11"/>
      <c r="E438" s="11"/>
      <c r="F438" s="1" t="str">
        <f t="shared" si="24"/>
        <v/>
      </c>
      <c r="G438" s="1" t="str">
        <f t="shared" si="25"/>
        <v/>
      </c>
      <c r="H438" s="1" t="str">
        <f t="shared" si="26"/>
        <v/>
      </c>
      <c r="I438" s="1" t="str">
        <f>IF($L438="","",INDEX(Ref_AccountRules,$L438,3))</f>
        <v/>
      </c>
      <c r="J438" s="1" t="str">
        <f>IF($L438="","",INDEX(Ref_AccountRules,$L438,4))</f>
        <v/>
      </c>
      <c r="K438" s="1" t="str">
        <f>IF($L438="","",INDEX(Ref_AccountRules,$L438,5))</f>
        <v/>
      </c>
      <c r="L438" s="1" t="str">
        <f t="shared" si="27"/>
        <v/>
      </c>
    </row>
    <row r="439" spans="2:12" x14ac:dyDescent="0.35">
      <c r="B439" s="12"/>
      <c r="C439" s="11"/>
      <c r="D439" s="11"/>
      <c r="E439" s="11"/>
      <c r="F439" s="1" t="str">
        <f t="shared" si="24"/>
        <v/>
      </c>
      <c r="G439" s="1" t="str">
        <f t="shared" si="25"/>
        <v/>
      </c>
      <c r="H439" s="1" t="str">
        <f t="shared" si="26"/>
        <v/>
      </c>
      <c r="I439" s="1" t="str">
        <f>IF($L439="","",INDEX(Ref_AccountRules,$L439,3))</f>
        <v/>
      </c>
      <c r="J439" s="1" t="str">
        <f>IF($L439="","",INDEX(Ref_AccountRules,$L439,4))</f>
        <v/>
      </c>
      <c r="K439" s="1" t="str">
        <f>IF($L439="","",INDEX(Ref_AccountRules,$L439,5))</f>
        <v/>
      </c>
      <c r="L439" s="1" t="str">
        <f t="shared" si="27"/>
        <v/>
      </c>
    </row>
    <row r="440" spans="2:12" x14ac:dyDescent="0.35">
      <c r="B440" s="12"/>
      <c r="C440" s="11"/>
      <c r="D440" s="11"/>
      <c r="E440" s="11"/>
      <c r="F440" s="1" t="str">
        <f t="shared" si="24"/>
        <v/>
      </c>
      <c r="G440" s="1" t="str">
        <f t="shared" si="25"/>
        <v/>
      </c>
      <c r="H440" s="1" t="str">
        <f t="shared" si="26"/>
        <v/>
      </c>
      <c r="I440" s="1" t="str">
        <f>IF($L440="","",INDEX(Ref_AccountRules,$L440,3))</f>
        <v/>
      </c>
      <c r="J440" s="1" t="str">
        <f>IF($L440="","",INDEX(Ref_AccountRules,$L440,4))</f>
        <v/>
      </c>
      <c r="K440" s="1" t="str">
        <f>IF($L440="","",INDEX(Ref_AccountRules,$L440,5))</f>
        <v/>
      </c>
      <c r="L440" s="1" t="str">
        <f t="shared" si="27"/>
        <v/>
      </c>
    </row>
    <row r="441" spans="2:12" x14ac:dyDescent="0.35">
      <c r="B441" s="12"/>
      <c r="C441" s="11"/>
      <c r="D441" s="11"/>
      <c r="E441" s="11"/>
      <c r="F441" s="1" t="str">
        <f t="shared" si="24"/>
        <v/>
      </c>
      <c r="G441" s="1" t="str">
        <f t="shared" si="25"/>
        <v/>
      </c>
      <c r="H441" s="1" t="str">
        <f t="shared" si="26"/>
        <v/>
      </c>
      <c r="I441" s="1" t="str">
        <f>IF($L441="","",INDEX(Ref_AccountRules,$L441,3))</f>
        <v/>
      </c>
      <c r="J441" s="1" t="str">
        <f>IF($L441="","",INDEX(Ref_AccountRules,$L441,4))</f>
        <v/>
      </c>
      <c r="K441" s="1" t="str">
        <f>IF($L441="","",INDEX(Ref_AccountRules,$L441,5))</f>
        <v/>
      </c>
      <c r="L441" s="1" t="str">
        <f t="shared" si="27"/>
        <v/>
      </c>
    </row>
    <row r="442" spans="2:12" x14ac:dyDescent="0.35">
      <c r="B442" s="12"/>
      <c r="C442" s="11"/>
      <c r="D442" s="11"/>
      <c r="E442" s="11"/>
      <c r="F442" s="1" t="str">
        <f t="shared" si="24"/>
        <v/>
      </c>
      <c r="G442" s="1" t="str">
        <f t="shared" si="25"/>
        <v/>
      </c>
      <c r="H442" s="1" t="str">
        <f t="shared" si="26"/>
        <v/>
      </c>
      <c r="I442" s="1" t="str">
        <f>IF($L442="","",INDEX(Ref_AccountRules,$L442,3))</f>
        <v/>
      </c>
      <c r="J442" s="1" t="str">
        <f>IF($L442="","",INDEX(Ref_AccountRules,$L442,4))</f>
        <v/>
      </c>
      <c r="K442" s="1" t="str">
        <f>IF($L442="","",INDEX(Ref_AccountRules,$L442,5))</f>
        <v/>
      </c>
      <c r="L442" s="1" t="str">
        <f t="shared" si="27"/>
        <v/>
      </c>
    </row>
    <row r="443" spans="2:12" x14ac:dyDescent="0.35">
      <c r="B443" s="12"/>
      <c r="C443" s="11"/>
      <c r="D443" s="11"/>
      <c r="E443" s="11"/>
      <c r="F443" s="1" t="str">
        <f t="shared" si="24"/>
        <v/>
      </c>
      <c r="G443" s="1" t="str">
        <f t="shared" si="25"/>
        <v/>
      </c>
      <c r="H443" s="1" t="str">
        <f t="shared" si="26"/>
        <v/>
      </c>
      <c r="I443" s="1" t="str">
        <f>IF($L443="","",INDEX(Ref_AccountRules,$L443,3))</f>
        <v/>
      </c>
      <c r="J443" s="1" t="str">
        <f>IF($L443="","",INDEX(Ref_AccountRules,$L443,4))</f>
        <v/>
      </c>
      <c r="K443" s="1" t="str">
        <f>IF($L443="","",INDEX(Ref_AccountRules,$L443,5))</f>
        <v/>
      </c>
      <c r="L443" s="1" t="str">
        <f t="shared" si="27"/>
        <v/>
      </c>
    </row>
    <row r="444" spans="2:12" x14ac:dyDescent="0.35">
      <c r="B444" s="12"/>
      <c r="C444" s="11"/>
      <c r="D444" s="11"/>
      <c r="E444" s="11"/>
      <c r="F444" s="1" t="str">
        <f t="shared" si="24"/>
        <v/>
      </c>
      <c r="G444" s="1" t="str">
        <f t="shared" si="25"/>
        <v/>
      </c>
      <c r="H444" s="1" t="str">
        <f t="shared" si="26"/>
        <v/>
      </c>
      <c r="I444" s="1" t="str">
        <f>IF($L444="","",INDEX(Ref_AccountRules,$L444,3))</f>
        <v/>
      </c>
      <c r="J444" s="1" t="str">
        <f>IF($L444="","",INDEX(Ref_AccountRules,$L444,4))</f>
        <v/>
      </c>
      <c r="K444" s="1" t="str">
        <f>IF($L444="","",INDEX(Ref_AccountRules,$L444,5))</f>
        <v/>
      </c>
      <c r="L444" s="1" t="str">
        <f t="shared" si="27"/>
        <v/>
      </c>
    </row>
    <row r="445" spans="2:12" x14ac:dyDescent="0.35">
      <c r="B445" s="12"/>
      <c r="C445" s="11"/>
      <c r="D445" s="11"/>
      <c r="E445" s="11"/>
      <c r="F445" s="1" t="str">
        <f t="shared" si="24"/>
        <v/>
      </c>
      <c r="G445" s="1" t="str">
        <f t="shared" si="25"/>
        <v/>
      </c>
      <c r="H445" s="1" t="str">
        <f t="shared" si="26"/>
        <v/>
      </c>
      <c r="I445" s="1" t="str">
        <f>IF($L445="","",INDEX(Ref_AccountRules,$L445,3))</f>
        <v/>
      </c>
      <c r="J445" s="1" t="str">
        <f>IF($L445="","",INDEX(Ref_AccountRules,$L445,4))</f>
        <v/>
      </c>
      <c r="K445" s="1" t="str">
        <f>IF($L445="","",INDEX(Ref_AccountRules,$L445,5))</f>
        <v/>
      </c>
      <c r="L445" s="1" t="str">
        <f t="shared" si="27"/>
        <v/>
      </c>
    </row>
    <row r="446" spans="2:12" x14ac:dyDescent="0.35">
      <c r="B446" s="12"/>
      <c r="C446" s="11"/>
      <c r="D446" s="11"/>
      <c r="E446" s="11"/>
      <c r="F446" s="1" t="str">
        <f t="shared" si="24"/>
        <v/>
      </c>
      <c r="G446" s="1" t="str">
        <f t="shared" si="25"/>
        <v/>
      </c>
      <c r="H446" s="1" t="str">
        <f t="shared" si="26"/>
        <v/>
      </c>
      <c r="I446" s="1" t="str">
        <f>IF($L446="","",INDEX(Ref_AccountRules,$L446,3))</f>
        <v/>
      </c>
      <c r="J446" s="1" t="str">
        <f>IF($L446="","",INDEX(Ref_AccountRules,$L446,4))</f>
        <v/>
      </c>
      <c r="K446" s="1" t="str">
        <f>IF($L446="","",INDEX(Ref_AccountRules,$L446,5))</f>
        <v/>
      </c>
      <c r="L446" s="1" t="str">
        <f t="shared" si="27"/>
        <v/>
      </c>
    </row>
    <row r="447" spans="2:12" x14ac:dyDescent="0.35">
      <c r="B447" s="12"/>
      <c r="C447" s="11"/>
      <c r="D447" s="11"/>
      <c r="E447" s="11"/>
      <c r="F447" s="1" t="str">
        <f t="shared" si="24"/>
        <v/>
      </c>
      <c r="G447" s="1" t="str">
        <f t="shared" si="25"/>
        <v/>
      </c>
      <c r="H447" s="1" t="str">
        <f t="shared" si="26"/>
        <v/>
      </c>
      <c r="I447" s="1" t="str">
        <f>IF($L447="","",INDEX(Ref_AccountRules,$L447,3))</f>
        <v/>
      </c>
      <c r="J447" s="1" t="str">
        <f>IF($L447="","",INDEX(Ref_AccountRules,$L447,4))</f>
        <v/>
      </c>
      <c r="K447" s="1" t="str">
        <f>IF($L447="","",INDEX(Ref_AccountRules,$L447,5))</f>
        <v/>
      </c>
      <c r="L447" s="1" t="str">
        <f t="shared" si="27"/>
        <v/>
      </c>
    </row>
    <row r="448" spans="2:12" x14ac:dyDescent="0.35">
      <c r="B448" s="12"/>
      <c r="C448" s="11"/>
      <c r="D448" s="11"/>
      <c r="E448" s="11"/>
      <c r="F448" s="1" t="str">
        <f t="shared" si="24"/>
        <v/>
      </c>
      <c r="G448" s="1" t="str">
        <f t="shared" si="25"/>
        <v/>
      </c>
      <c r="H448" s="1" t="str">
        <f t="shared" si="26"/>
        <v/>
      </c>
      <c r="I448" s="1" t="str">
        <f>IF($L448="","",INDEX(Ref_AccountRules,$L448,3))</f>
        <v/>
      </c>
      <c r="J448" s="1" t="str">
        <f>IF($L448="","",INDEX(Ref_AccountRules,$L448,4))</f>
        <v/>
      </c>
      <c r="K448" s="1" t="str">
        <f>IF($L448="","",INDEX(Ref_AccountRules,$L448,5))</f>
        <v/>
      </c>
      <c r="L448" s="1" t="str">
        <f t="shared" si="27"/>
        <v/>
      </c>
    </row>
    <row r="449" spans="2:12" x14ac:dyDescent="0.35">
      <c r="B449" s="12"/>
      <c r="C449" s="11"/>
      <c r="D449" s="11"/>
      <c r="E449" s="11"/>
      <c r="F449" s="1" t="str">
        <f t="shared" si="24"/>
        <v/>
      </c>
      <c r="G449" s="1" t="str">
        <f t="shared" si="25"/>
        <v/>
      </c>
      <c r="H449" s="1" t="str">
        <f t="shared" si="26"/>
        <v/>
      </c>
      <c r="I449" s="1" t="str">
        <f>IF($L449="","",INDEX(Ref_AccountRules,$L449,3))</f>
        <v/>
      </c>
      <c r="J449" s="1" t="str">
        <f>IF($L449="","",INDEX(Ref_AccountRules,$L449,4))</f>
        <v/>
      </c>
      <c r="K449" s="1" t="str">
        <f>IF($L449="","",INDEX(Ref_AccountRules,$L449,5))</f>
        <v/>
      </c>
      <c r="L449" s="1" t="str">
        <f t="shared" si="27"/>
        <v/>
      </c>
    </row>
    <row r="450" spans="2:12" x14ac:dyDescent="0.35">
      <c r="B450" s="12"/>
      <c r="C450" s="11"/>
      <c r="D450" s="11"/>
      <c r="E450" s="11"/>
      <c r="F450" s="1" t="str">
        <f t="shared" si="24"/>
        <v/>
      </c>
      <c r="G450" s="1" t="str">
        <f t="shared" si="25"/>
        <v/>
      </c>
      <c r="H450" s="1" t="str">
        <f t="shared" si="26"/>
        <v/>
      </c>
      <c r="I450" s="1" t="str">
        <f>IF($L450="","",INDEX(Ref_AccountRules,$L450,3))</f>
        <v/>
      </c>
      <c r="J450" s="1" t="str">
        <f>IF($L450="","",INDEX(Ref_AccountRules,$L450,4))</f>
        <v/>
      </c>
      <c r="K450" s="1" t="str">
        <f>IF($L450="","",INDEX(Ref_AccountRules,$L450,5))</f>
        <v/>
      </c>
      <c r="L450" s="1" t="str">
        <f t="shared" si="27"/>
        <v/>
      </c>
    </row>
    <row r="451" spans="2:12" x14ac:dyDescent="0.35">
      <c r="B451" s="12"/>
      <c r="C451" s="11"/>
      <c r="D451" s="11"/>
      <c r="E451" s="11"/>
      <c r="F451" s="1" t="str">
        <f t="shared" si="24"/>
        <v/>
      </c>
      <c r="G451" s="1" t="str">
        <f t="shared" si="25"/>
        <v/>
      </c>
      <c r="H451" s="1" t="str">
        <f t="shared" si="26"/>
        <v/>
      </c>
      <c r="I451" s="1" t="str">
        <f>IF($L451="","",INDEX(Ref_AccountRules,$L451,3))</f>
        <v/>
      </c>
      <c r="J451" s="1" t="str">
        <f>IF($L451="","",INDEX(Ref_AccountRules,$L451,4))</f>
        <v/>
      </c>
      <c r="K451" s="1" t="str">
        <f>IF($L451="","",INDEX(Ref_AccountRules,$L451,5))</f>
        <v/>
      </c>
      <c r="L451" s="1" t="str">
        <f t="shared" si="27"/>
        <v/>
      </c>
    </row>
    <row r="452" spans="2:12" x14ac:dyDescent="0.35">
      <c r="B452" s="12"/>
      <c r="C452" s="11"/>
      <c r="D452" s="11"/>
      <c r="E452" s="11"/>
      <c r="F452" s="1" t="str">
        <f t="shared" si="24"/>
        <v/>
      </c>
      <c r="G452" s="1" t="str">
        <f t="shared" si="25"/>
        <v/>
      </c>
      <c r="H452" s="1" t="str">
        <f t="shared" si="26"/>
        <v/>
      </c>
      <c r="I452" s="1" t="str">
        <f>IF($L452="","",INDEX(Ref_AccountRules,$L452,3))</f>
        <v/>
      </c>
      <c r="J452" s="1" t="str">
        <f>IF($L452="","",INDEX(Ref_AccountRules,$L452,4))</f>
        <v/>
      </c>
      <c r="K452" s="1" t="str">
        <f>IF($L452="","",INDEX(Ref_AccountRules,$L452,5))</f>
        <v/>
      </c>
      <c r="L452" s="1" t="str">
        <f t="shared" si="27"/>
        <v/>
      </c>
    </row>
    <row r="453" spans="2:12" x14ac:dyDescent="0.35">
      <c r="B453" s="12"/>
      <c r="C453" s="11"/>
      <c r="D453" s="11"/>
      <c r="E453" s="11"/>
      <c r="F453" s="1" t="str">
        <f t="shared" si="24"/>
        <v/>
      </c>
      <c r="G453" s="1" t="str">
        <f t="shared" si="25"/>
        <v/>
      </c>
      <c r="H453" s="1" t="str">
        <f t="shared" si="26"/>
        <v/>
      </c>
      <c r="I453" s="1" t="str">
        <f>IF($L453="","",INDEX(Ref_AccountRules,$L453,3))</f>
        <v/>
      </c>
      <c r="J453" s="1" t="str">
        <f>IF($L453="","",INDEX(Ref_AccountRules,$L453,4))</f>
        <v/>
      </c>
      <c r="K453" s="1" t="str">
        <f>IF($L453="","",INDEX(Ref_AccountRules,$L453,5))</f>
        <v/>
      </c>
      <c r="L453" s="1" t="str">
        <f t="shared" si="27"/>
        <v/>
      </c>
    </row>
    <row r="454" spans="2:12" x14ac:dyDescent="0.35">
      <c r="B454" s="12"/>
      <c r="C454" s="11"/>
      <c r="D454" s="11"/>
      <c r="E454" s="11"/>
      <c r="F454" s="1" t="str">
        <f t="shared" si="24"/>
        <v/>
      </c>
      <c r="G454" s="1" t="str">
        <f t="shared" si="25"/>
        <v/>
      </c>
      <c r="H454" s="1" t="str">
        <f t="shared" si="26"/>
        <v/>
      </c>
      <c r="I454" s="1" t="str">
        <f>IF($L454="","",INDEX(Ref_AccountRules,$L454,3))</f>
        <v/>
      </c>
      <c r="J454" s="1" t="str">
        <f>IF($L454="","",INDEX(Ref_AccountRules,$L454,4))</f>
        <v/>
      </c>
      <c r="K454" s="1" t="str">
        <f>IF($L454="","",INDEX(Ref_AccountRules,$L454,5))</f>
        <v/>
      </c>
      <c r="L454" s="1" t="str">
        <f t="shared" si="27"/>
        <v/>
      </c>
    </row>
    <row r="455" spans="2:12" x14ac:dyDescent="0.35">
      <c r="B455" s="12"/>
      <c r="C455" s="11"/>
      <c r="D455" s="11"/>
      <c r="E455" s="11"/>
      <c r="F455" s="1" t="str">
        <f t="shared" si="24"/>
        <v/>
      </c>
      <c r="G455" s="1" t="str">
        <f t="shared" si="25"/>
        <v/>
      </c>
      <c r="H455" s="1" t="str">
        <f t="shared" si="26"/>
        <v/>
      </c>
      <c r="I455" s="1" t="str">
        <f>IF($L455="","",INDEX(Ref_AccountRules,$L455,3))</f>
        <v/>
      </c>
      <c r="J455" s="1" t="str">
        <f>IF($L455="","",INDEX(Ref_AccountRules,$L455,4))</f>
        <v/>
      </c>
      <c r="K455" s="1" t="str">
        <f>IF($L455="","",INDEX(Ref_AccountRules,$L455,5))</f>
        <v/>
      </c>
      <c r="L455" s="1" t="str">
        <f t="shared" si="27"/>
        <v/>
      </c>
    </row>
    <row r="456" spans="2:12" x14ac:dyDescent="0.35">
      <c r="B456" s="12"/>
      <c r="C456" s="11"/>
      <c r="D456" s="11"/>
      <c r="E456" s="11"/>
      <c r="F456" s="1" t="str">
        <f t="shared" si="24"/>
        <v/>
      </c>
      <c r="G456" s="1" t="str">
        <f t="shared" si="25"/>
        <v/>
      </c>
      <c r="H456" s="1" t="str">
        <f t="shared" si="26"/>
        <v/>
      </c>
      <c r="I456" s="1" t="str">
        <f>IF($L456="","",INDEX(Ref_AccountRules,$L456,3))</f>
        <v/>
      </c>
      <c r="J456" s="1" t="str">
        <f>IF($L456="","",INDEX(Ref_AccountRules,$L456,4))</f>
        <v/>
      </c>
      <c r="K456" s="1" t="str">
        <f>IF($L456="","",INDEX(Ref_AccountRules,$L456,5))</f>
        <v/>
      </c>
      <c r="L456" s="1" t="str">
        <f t="shared" si="27"/>
        <v/>
      </c>
    </row>
    <row r="457" spans="2:12" x14ac:dyDescent="0.35">
      <c r="B457" s="12"/>
      <c r="C457" s="11"/>
      <c r="D457" s="11"/>
      <c r="E457" s="11"/>
      <c r="F457" s="1" t="str">
        <f t="shared" si="24"/>
        <v/>
      </c>
      <c r="G457" s="1" t="str">
        <f t="shared" si="25"/>
        <v/>
      </c>
      <c r="H457" s="1" t="str">
        <f t="shared" si="26"/>
        <v/>
      </c>
      <c r="I457" s="1" t="str">
        <f>IF($L457="","",INDEX(Ref_AccountRules,$L457,3))</f>
        <v/>
      </c>
      <c r="J457" s="1" t="str">
        <f>IF($L457="","",INDEX(Ref_AccountRules,$L457,4))</f>
        <v/>
      </c>
      <c r="K457" s="1" t="str">
        <f>IF($L457="","",INDEX(Ref_AccountRules,$L457,5))</f>
        <v/>
      </c>
      <c r="L457" s="1" t="str">
        <f t="shared" si="27"/>
        <v/>
      </c>
    </row>
    <row r="458" spans="2:12" x14ac:dyDescent="0.35">
      <c r="B458" s="12"/>
      <c r="C458" s="11"/>
      <c r="D458" s="11"/>
      <c r="E458" s="11"/>
      <c r="F458" s="1" t="str">
        <f t="shared" si="24"/>
        <v/>
      </c>
      <c r="G458" s="1" t="str">
        <f t="shared" si="25"/>
        <v/>
      </c>
      <c r="H458" s="1" t="str">
        <f t="shared" si="26"/>
        <v/>
      </c>
      <c r="I458" s="1" t="str">
        <f>IF($L458="","",INDEX(Ref_AccountRules,$L458,3))</f>
        <v/>
      </c>
      <c r="J458" s="1" t="str">
        <f>IF($L458="","",INDEX(Ref_AccountRules,$L458,4))</f>
        <v/>
      </c>
      <c r="K458" s="1" t="str">
        <f>IF($L458="","",INDEX(Ref_AccountRules,$L458,5))</f>
        <v/>
      </c>
      <c r="L458" s="1" t="str">
        <f t="shared" si="27"/>
        <v/>
      </c>
    </row>
    <row r="459" spans="2:12" x14ac:dyDescent="0.35">
      <c r="B459" s="12"/>
      <c r="C459" s="11"/>
      <c r="D459" s="11"/>
      <c r="E459" s="11"/>
      <c r="F459" s="1" t="str">
        <f t="shared" ref="F459:F522" si="28">IF($B459="","",E459-D459)</f>
        <v/>
      </c>
      <c r="G459" s="1" t="str">
        <f t="shared" ref="G459:G522" si="29">IF($B459="","",IF(D459=0,0,(E459-D459)/ABS(D459)*100))</f>
        <v/>
      </c>
      <c r="H459" s="1" t="str">
        <f t="shared" ref="H459:H522" si="30">IF($B459="","",IF(LEFT($B459,6)="606880","emballages",IF(LEFT($B459,4)="6068","emballages",IF(LEFT($B459,3)="606","energie_dechets",IF(LEFT($B459,3)="164","tresorerie_financement",IF(LEFT($B459,2)="20","immobilisations",IF(LEFT($B459,2)="21","immobilisations",IF(LEFT($B459,2)="22","immobilisations",IF(LEFT($B459,2)="23","immobilisations",IF(LEFT($B459,2)="28","immobilisations",IF(LEFT($B459,2)="40","fournisseurs",IF(LEFT($B459,2)="41","clients",IF(LEFT($B459,2)="32","stocks",IF(LEFT($B459,2)="60","charges",IF(LEFT($B459,2)="61","services",IF(LEFT($B459,2)="62","personnel",IF(LEFT($B459,2)="63","fiscal",IF(LEFT($B459,2)="64","financier","autres"))))))))))))))))))</f>
        <v/>
      </c>
      <c r="I459" s="1" t="str">
        <f>IF($L459="","",INDEX(Ref_AccountRules,$L459,3))</f>
        <v/>
      </c>
      <c r="J459" s="1" t="str">
        <f>IF($L459="","",INDEX(Ref_AccountRules,$L459,4))</f>
        <v/>
      </c>
      <c r="K459" s="1" t="str">
        <f>IF($L459="","",INDEX(Ref_AccountRules,$L459,5))</f>
        <v/>
      </c>
      <c r="L459" s="1" t="str">
        <f t="shared" ref="L459:L522" si="31">IF($B459="","",IF(LEFT($B459,3)="215",1,IF(LEFT($B459,4)="2183",2,IF(LEFT($B459,3)="401",3,IF(LEFT($B459,3)="411",4,IF(LEFT($B459,3)="322",5,IF(LEFT($B459,4)="3220",6,IF(LEFT($B459,5)="32200",7,IF(LEFT($B459,3)="625",8,IF(LEFT($B459,3)="606",9,IF(LEFT($B459,3)="164",10,IF(LEFT($B459,6)="606880",11,""))))))))))))</f>
        <v/>
      </c>
    </row>
    <row r="460" spans="2:12" x14ac:dyDescent="0.35">
      <c r="B460" s="12"/>
      <c r="C460" s="11"/>
      <c r="D460" s="11"/>
      <c r="E460" s="11"/>
      <c r="F460" s="1" t="str">
        <f t="shared" si="28"/>
        <v/>
      </c>
      <c r="G460" s="1" t="str">
        <f t="shared" si="29"/>
        <v/>
      </c>
      <c r="H460" s="1" t="str">
        <f t="shared" si="30"/>
        <v/>
      </c>
      <c r="I460" s="1" t="str">
        <f>IF($L460="","",INDEX(Ref_AccountRules,$L460,3))</f>
        <v/>
      </c>
      <c r="J460" s="1" t="str">
        <f>IF($L460="","",INDEX(Ref_AccountRules,$L460,4))</f>
        <v/>
      </c>
      <c r="K460" s="1" t="str">
        <f>IF($L460="","",INDEX(Ref_AccountRules,$L460,5))</f>
        <v/>
      </c>
      <c r="L460" s="1" t="str">
        <f t="shared" si="31"/>
        <v/>
      </c>
    </row>
    <row r="461" spans="2:12" x14ac:dyDescent="0.35">
      <c r="B461" s="12"/>
      <c r="C461" s="11"/>
      <c r="D461" s="11"/>
      <c r="E461" s="11"/>
      <c r="F461" s="1" t="str">
        <f t="shared" si="28"/>
        <v/>
      </c>
      <c r="G461" s="1" t="str">
        <f t="shared" si="29"/>
        <v/>
      </c>
      <c r="H461" s="1" t="str">
        <f t="shared" si="30"/>
        <v/>
      </c>
      <c r="I461" s="1" t="str">
        <f>IF($L461="","",INDEX(Ref_AccountRules,$L461,3))</f>
        <v/>
      </c>
      <c r="J461" s="1" t="str">
        <f>IF($L461="","",INDEX(Ref_AccountRules,$L461,4))</f>
        <v/>
      </c>
      <c r="K461" s="1" t="str">
        <f>IF($L461="","",INDEX(Ref_AccountRules,$L461,5))</f>
        <v/>
      </c>
      <c r="L461" s="1" t="str">
        <f t="shared" si="31"/>
        <v/>
      </c>
    </row>
    <row r="462" spans="2:12" x14ac:dyDescent="0.35">
      <c r="B462" s="12"/>
      <c r="C462" s="11"/>
      <c r="D462" s="11"/>
      <c r="E462" s="11"/>
      <c r="F462" s="1" t="str">
        <f t="shared" si="28"/>
        <v/>
      </c>
      <c r="G462" s="1" t="str">
        <f t="shared" si="29"/>
        <v/>
      </c>
      <c r="H462" s="1" t="str">
        <f t="shared" si="30"/>
        <v/>
      </c>
      <c r="I462" s="1" t="str">
        <f>IF($L462="","",INDEX(Ref_AccountRules,$L462,3))</f>
        <v/>
      </c>
      <c r="J462" s="1" t="str">
        <f>IF($L462="","",INDEX(Ref_AccountRules,$L462,4))</f>
        <v/>
      </c>
      <c r="K462" s="1" t="str">
        <f>IF($L462="","",INDEX(Ref_AccountRules,$L462,5))</f>
        <v/>
      </c>
      <c r="L462" s="1" t="str">
        <f t="shared" si="31"/>
        <v/>
      </c>
    </row>
    <row r="463" spans="2:12" x14ac:dyDescent="0.35">
      <c r="B463" s="12"/>
      <c r="C463" s="11"/>
      <c r="D463" s="11"/>
      <c r="E463" s="11"/>
      <c r="F463" s="1" t="str">
        <f t="shared" si="28"/>
        <v/>
      </c>
      <c r="G463" s="1" t="str">
        <f t="shared" si="29"/>
        <v/>
      </c>
      <c r="H463" s="1" t="str">
        <f t="shared" si="30"/>
        <v/>
      </c>
      <c r="I463" s="1" t="str">
        <f>IF($L463="","",INDEX(Ref_AccountRules,$L463,3))</f>
        <v/>
      </c>
      <c r="J463" s="1" t="str">
        <f>IF($L463="","",INDEX(Ref_AccountRules,$L463,4))</f>
        <v/>
      </c>
      <c r="K463" s="1" t="str">
        <f>IF($L463="","",INDEX(Ref_AccountRules,$L463,5))</f>
        <v/>
      </c>
      <c r="L463" s="1" t="str">
        <f t="shared" si="31"/>
        <v/>
      </c>
    </row>
    <row r="464" spans="2:12" x14ac:dyDescent="0.35">
      <c r="B464" s="12"/>
      <c r="C464" s="11"/>
      <c r="D464" s="11"/>
      <c r="E464" s="11"/>
      <c r="F464" s="1" t="str">
        <f t="shared" si="28"/>
        <v/>
      </c>
      <c r="G464" s="1" t="str">
        <f t="shared" si="29"/>
        <v/>
      </c>
      <c r="H464" s="1" t="str">
        <f t="shared" si="30"/>
        <v/>
      </c>
      <c r="I464" s="1" t="str">
        <f>IF($L464="","",INDEX(Ref_AccountRules,$L464,3))</f>
        <v/>
      </c>
      <c r="J464" s="1" t="str">
        <f>IF($L464="","",INDEX(Ref_AccountRules,$L464,4))</f>
        <v/>
      </c>
      <c r="K464" s="1" t="str">
        <f>IF($L464="","",INDEX(Ref_AccountRules,$L464,5))</f>
        <v/>
      </c>
      <c r="L464" s="1" t="str">
        <f t="shared" si="31"/>
        <v/>
      </c>
    </row>
    <row r="465" spans="2:12" x14ac:dyDescent="0.35">
      <c r="B465" s="12"/>
      <c r="C465" s="11"/>
      <c r="D465" s="11"/>
      <c r="E465" s="11"/>
      <c r="F465" s="1" t="str">
        <f t="shared" si="28"/>
        <v/>
      </c>
      <c r="G465" s="1" t="str">
        <f t="shared" si="29"/>
        <v/>
      </c>
      <c r="H465" s="1" t="str">
        <f t="shared" si="30"/>
        <v/>
      </c>
      <c r="I465" s="1" t="str">
        <f>IF($L465="","",INDEX(Ref_AccountRules,$L465,3))</f>
        <v/>
      </c>
      <c r="J465" s="1" t="str">
        <f>IF($L465="","",INDEX(Ref_AccountRules,$L465,4))</f>
        <v/>
      </c>
      <c r="K465" s="1" t="str">
        <f>IF($L465="","",INDEX(Ref_AccountRules,$L465,5))</f>
        <v/>
      </c>
      <c r="L465" s="1" t="str">
        <f t="shared" si="31"/>
        <v/>
      </c>
    </row>
    <row r="466" spans="2:12" x14ac:dyDescent="0.35">
      <c r="B466" s="12"/>
      <c r="C466" s="11"/>
      <c r="D466" s="11"/>
      <c r="E466" s="11"/>
      <c r="F466" s="1" t="str">
        <f t="shared" si="28"/>
        <v/>
      </c>
      <c r="G466" s="1" t="str">
        <f t="shared" si="29"/>
        <v/>
      </c>
      <c r="H466" s="1" t="str">
        <f t="shared" si="30"/>
        <v/>
      </c>
      <c r="I466" s="1" t="str">
        <f>IF($L466="","",INDEX(Ref_AccountRules,$L466,3))</f>
        <v/>
      </c>
      <c r="J466" s="1" t="str">
        <f>IF($L466="","",INDEX(Ref_AccountRules,$L466,4))</f>
        <v/>
      </c>
      <c r="K466" s="1" t="str">
        <f>IF($L466="","",INDEX(Ref_AccountRules,$L466,5))</f>
        <v/>
      </c>
      <c r="L466" s="1" t="str">
        <f t="shared" si="31"/>
        <v/>
      </c>
    </row>
    <row r="467" spans="2:12" x14ac:dyDescent="0.35">
      <c r="B467" s="12"/>
      <c r="C467" s="11"/>
      <c r="D467" s="11"/>
      <c r="E467" s="11"/>
      <c r="F467" s="1" t="str">
        <f t="shared" si="28"/>
        <v/>
      </c>
      <c r="G467" s="1" t="str">
        <f t="shared" si="29"/>
        <v/>
      </c>
      <c r="H467" s="1" t="str">
        <f t="shared" si="30"/>
        <v/>
      </c>
      <c r="I467" s="1" t="str">
        <f>IF($L467="","",INDEX(Ref_AccountRules,$L467,3))</f>
        <v/>
      </c>
      <c r="J467" s="1" t="str">
        <f>IF($L467="","",INDEX(Ref_AccountRules,$L467,4))</f>
        <v/>
      </c>
      <c r="K467" s="1" t="str">
        <f>IF($L467="","",INDEX(Ref_AccountRules,$L467,5))</f>
        <v/>
      </c>
      <c r="L467" s="1" t="str">
        <f t="shared" si="31"/>
        <v/>
      </c>
    </row>
    <row r="468" spans="2:12" x14ac:dyDescent="0.35">
      <c r="B468" s="12"/>
      <c r="C468" s="11"/>
      <c r="D468" s="11"/>
      <c r="E468" s="11"/>
      <c r="F468" s="1" t="str">
        <f t="shared" si="28"/>
        <v/>
      </c>
      <c r="G468" s="1" t="str">
        <f t="shared" si="29"/>
        <v/>
      </c>
      <c r="H468" s="1" t="str">
        <f t="shared" si="30"/>
        <v/>
      </c>
      <c r="I468" s="1" t="str">
        <f>IF($L468="","",INDEX(Ref_AccountRules,$L468,3))</f>
        <v/>
      </c>
      <c r="J468" s="1" t="str">
        <f>IF($L468="","",INDEX(Ref_AccountRules,$L468,4))</f>
        <v/>
      </c>
      <c r="K468" s="1" t="str">
        <f>IF($L468="","",INDEX(Ref_AccountRules,$L468,5))</f>
        <v/>
      </c>
      <c r="L468" s="1" t="str">
        <f t="shared" si="31"/>
        <v/>
      </c>
    </row>
    <row r="469" spans="2:12" x14ac:dyDescent="0.35">
      <c r="B469" s="12"/>
      <c r="C469" s="11"/>
      <c r="D469" s="11"/>
      <c r="E469" s="11"/>
      <c r="F469" s="1" t="str">
        <f t="shared" si="28"/>
        <v/>
      </c>
      <c r="G469" s="1" t="str">
        <f t="shared" si="29"/>
        <v/>
      </c>
      <c r="H469" s="1" t="str">
        <f t="shared" si="30"/>
        <v/>
      </c>
      <c r="I469" s="1" t="str">
        <f>IF($L469="","",INDEX(Ref_AccountRules,$L469,3))</f>
        <v/>
      </c>
      <c r="J469" s="1" t="str">
        <f>IF($L469="","",INDEX(Ref_AccountRules,$L469,4))</f>
        <v/>
      </c>
      <c r="K469" s="1" t="str">
        <f>IF($L469="","",INDEX(Ref_AccountRules,$L469,5))</f>
        <v/>
      </c>
      <c r="L469" s="1" t="str">
        <f t="shared" si="31"/>
        <v/>
      </c>
    </row>
    <row r="470" spans="2:12" x14ac:dyDescent="0.35">
      <c r="B470" s="12"/>
      <c r="C470" s="11"/>
      <c r="D470" s="11"/>
      <c r="E470" s="11"/>
      <c r="F470" s="1" t="str">
        <f t="shared" si="28"/>
        <v/>
      </c>
      <c r="G470" s="1" t="str">
        <f t="shared" si="29"/>
        <v/>
      </c>
      <c r="H470" s="1" t="str">
        <f t="shared" si="30"/>
        <v/>
      </c>
      <c r="I470" s="1" t="str">
        <f>IF($L470="","",INDEX(Ref_AccountRules,$L470,3))</f>
        <v/>
      </c>
      <c r="J470" s="1" t="str">
        <f>IF($L470="","",INDEX(Ref_AccountRules,$L470,4))</f>
        <v/>
      </c>
      <c r="K470" s="1" t="str">
        <f>IF($L470="","",INDEX(Ref_AccountRules,$L470,5))</f>
        <v/>
      </c>
      <c r="L470" s="1" t="str">
        <f t="shared" si="31"/>
        <v/>
      </c>
    </row>
    <row r="471" spans="2:12" x14ac:dyDescent="0.35">
      <c r="B471" s="12"/>
      <c r="C471" s="11"/>
      <c r="D471" s="11"/>
      <c r="E471" s="11"/>
      <c r="F471" s="1" t="str">
        <f t="shared" si="28"/>
        <v/>
      </c>
      <c r="G471" s="1" t="str">
        <f t="shared" si="29"/>
        <v/>
      </c>
      <c r="H471" s="1" t="str">
        <f t="shared" si="30"/>
        <v/>
      </c>
      <c r="I471" s="1" t="str">
        <f>IF($L471="","",INDEX(Ref_AccountRules,$L471,3))</f>
        <v/>
      </c>
      <c r="J471" s="1" t="str">
        <f>IF($L471="","",INDEX(Ref_AccountRules,$L471,4))</f>
        <v/>
      </c>
      <c r="K471" s="1" t="str">
        <f>IF($L471="","",INDEX(Ref_AccountRules,$L471,5))</f>
        <v/>
      </c>
      <c r="L471" s="1" t="str">
        <f t="shared" si="31"/>
        <v/>
      </c>
    </row>
    <row r="472" spans="2:12" x14ac:dyDescent="0.35">
      <c r="B472" s="12"/>
      <c r="C472" s="11"/>
      <c r="D472" s="11"/>
      <c r="E472" s="11"/>
      <c r="F472" s="1" t="str">
        <f t="shared" si="28"/>
        <v/>
      </c>
      <c r="G472" s="1" t="str">
        <f t="shared" si="29"/>
        <v/>
      </c>
      <c r="H472" s="1" t="str">
        <f t="shared" si="30"/>
        <v/>
      </c>
      <c r="I472" s="1" t="str">
        <f>IF($L472="","",INDEX(Ref_AccountRules,$L472,3))</f>
        <v/>
      </c>
      <c r="J472" s="1" t="str">
        <f>IF($L472="","",INDEX(Ref_AccountRules,$L472,4))</f>
        <v/>
      </c>
      <c r="K472" s="1" t="str">
        <f>IF($L472="","",INDEX(Ref_AccountRules,$L472,5))</f>
        <v/>
      </c>
      <c r="L472" s="1" t="str">
        <f t="shared" si="31"/>
        <v/>
      </c>
    </row>
    <row r="473" spans="2:12" x14ac:dyDescent="0.35">
      <c r="B473" s="12"/>
      <c r="C473" s="11"/>
      <c r="D473" s="11"/>
      <c r="E473" s="11"/>
      <c r="F473" s="1" t="str">
        <f t="shared" si="28"/>
        <v/>
      </c>
      <c r="G473" s="1" t="str">
        <f t="shared" si="29"/>
        <v/>
      </c>
      <c r="H473" s="1" t="str">
        <f t="shared" si="30"/>
        <v/>
      </c>
      <c r="I473" s="1" t="str">
        <f>IF($L473="","",INDEX(Ref_AccountRules,$L473,3))</f>
        <v/>
      </c>
      <c r="J473" s="1" t="str">
        <f>IF($L473="","",INDEX(Ref_AccountRules,$L473,4))</f>
        <v/>
      </c>
      <c r="K473" s="1" t="str">
        <f>IF($L473="","",INDEX(Ref_AccountRules,$L473,5))</f>
        <v/>
      </c>
      <c r="L473" s="1" t="str">
        <f t="shared" si="31"/>
        <v/>
      </c>
    </row>
    <row r="474" spans="2:12" x14ac:dyDescent="0.35">
      <c r="B474" s="12"/>
      <c r="C474" s="11"/>
      <c r="D474" s="11"/>
      <c r="E474" s="11"/>
      <c r="F474" s="1" t="str">
        <f t="shared" si="28"/>
        <v/>
      </c>
      <c r="G474" s="1" t="str">
        <f t="shared" si="29"/>
        <v/>
      </c>
      <c r="H474" s="1" t="str">
        <f t="shared" si="30"/>
        <v/>
      </c>
      <c r="I474" s="1" t="str">
        <f>IF($L474="","",INDEX(Ref_AccountRules,$L474,3))</f>
        <v/>
      </c>
      <c r="J474" s="1" t="str">
        <f>IF($L474="","",INDEX(Ref_AccountRules,$L474,4))</f>
        <v/>
      </c>
      <c r="K474" s="1" t="str">
        <f>IF($L474="","",INDEX(Ref_AccountRules,$L474,5))</f>
        <v/>
      </c>
      <c r="L474" s="1" t="str">
        <f t="shared" si="31"/>
        <v/>
      </c>
    </row>
    <row r="475" spans="2:12" x14ac:dyDescent="0.35">
      <c r="B475" s="12"/>
      <c r="C475" s="11"/>
      <c r="D475" s="11"/>
      <c r="E475" s="11"/>
      <c r="F475" s="1" t="str">
        <f t="shared" si="28"/>
        <v/>
      </c>
      <c r="G475" s="1" t="str">
        <f t="shared" si="29"/>
        <v/>
      </c>
      <c r="H475" s="1" t="str">
        <f t="shared" si="30"/>
        <v/>
      </c>
      <c r="I475" s="1" t="str">
        <f>IF($L475="","",INDEX(Ref_AccountRules,$L475,3))</f>
        <v/>
      </c>
      <c r="J475" s="1" t="str">
        <f>IF($L475="","",INDEX(Ref_AccountRules,$L475,4))</f>
        <v/>
      </c>
      <c r="K475" s="1" t="str">
        <f>IF($L475="","",INDEX(Ref_AccountRules,$L475,5))</f>
        <v/>
      </c>
      <c r="L475" s="1" t="str">
        <f t="shared" si="31"/>
        <v/>
      </c>
    </row>
    <row r="476" spans="2:12" x14ac:dyDescent="0.35">
      <c r="B476" s="12"/>
      <c r="C476" s="11"/>
      <c r="D476" s="11"/>
      <c r="E476" s="11"/>
      <c r="F476" s="1" t="str">
        <f t="shared" si="28"/>
        <v/>
      </c>
      <c r="G476" s="1" t="str">
        <f t="shared" si="29"/>
        <v/>
      </c>
      <c r="H476" s="1" t="str">
        <f t="shared" si="30"/>
        <v/>
      </c>
      <c r="I476" s="1" t="str">
        <f>IF($L476="","",INDEX(Ref_AccountRules,$L476,3))</f>
        <v/>
      </c>
      <c r="J476" s="1" t="str">
        <f>IF($L476="","",INDEX(Ref_AccountRules,$L476,4))</f>
        <v/>
      </c>
      <c r="K476" s="1" t="str">
        <f>IF($L476="","",INDEX(Ref_AccountRules,$L476,5))</f>
        <v/>
      </c>
      <c r="L476" s="1" t="str">
        <f t="shared" si="31"/>
        <v/>
      </c>
    </row>
    <row r="477" spans="2:12" x14ac:dyDescent="0.35">
      <c r="B477" s="12"/>
      <c r="C477" s="11"/>
      <c r="D477" s="11"/>
      <c r="E477" s="11"/>
      <c r="F477" s="1" t="str">
        <f t="shared" si="28"/>
        <v/>
      </c>
      <c r="G477" s="1" t="str">
        <f t="shared" si="29"/>
        <v/>
      </c>
      <c r="H477" s="1" t="str">
        <f t="shared" si="30"/>
        <v/>
      </c>
      <c r="I477" s="1" t="str">
        <f>IF($L477="","",INDEX(Ref_AccountRules,$L477,3))</f>
        <v/>
      </c>
      <c r="J477" s="1" t="str">
        <f>IF($L477="","",INDEX(Ref_AccountRules,$L477,4))</f>
        <v/>
      </c>
      <c r="K477" s="1" t="str">
        <f>IF($L477="","",INDEX(Ref_AccountRules,$L477,5))</f>
        <v/>
      </c>
      <c r="L477" s="1" t="str">
        <f t="shared" si="31"/>
        <v/>
      </c>
    </row>
    <row r="478" spans="2:12" x14ac:dyDescent="0.35">
      <c r="B478" s="12"/>
      <c r="C478" s="11"/>
      <c r="D478" s="11"/>
      <c r="E478" s="11"/>
      <c r="F478" s="1" t="str">
        <f t="shared" si="28"/>
        <v/>
      </c>
      <c r="G478" s="1" t="str">
        <f t="shared" si="29"/>
        <v/>
      </c>
      <c r="H478" s="1" t="str">
        <f t="shared" si="30"/>
        <v/>
      </c>
      <c r="I478" s="1" t="str">
        <f>IF($L478="","",INDEX(Ref_AccountRules,$L478,3))</f>
        <v/>
      </c>
      <c r="J478" s="1" t="str">
        <f>IF($L478="","",INDEX(Ref_AccountRules,$L478,4))</f>
        <v/>
      </c>
      <c r="K478" s="1" t="str">
        <f>IF($L478="","",INDEX(Ref_AccountRules,$L478,5))</f>
        <v/>
      </c>
      <c r="L478" s="1" t="str">
        <f t="shared" si="31"/>
        <v/>
      </c>
    </row>
    <row r="479" spans="2:12" x14ac:dyDescent="0.35">
      <c r="B479" s="12"/>
      <c r="C479" s="11"/>
      <c r="D479" s="11"/>
      <c r="E479" s="11"/>
      <c r="F479" s="1" t="str">
        <f t="shared" si="28"/>
        <v/>
      </c>
      <c r="G479" s="1" t="str">
        <f t="shared" si="29"/>
        <v/>
      </c>
      <c r="H479" s="1" t="str">
        <f t="shared" si="30"/>
        <v/>
      </c>
      <c r="I479" s="1" t="str">
        <f>IF($L479="","",INDEX(Ref_AccountRules,$L479,3))</f>
        <v/>
      </c>
      <c r="J479" s="1" t="str">
        <f>IF($L479="","",INDEX(Ref_AccountRules,$L479,4))</f>
        <v/>
      </c>
      <c r="K479" s="1" t="str">
        <f>IF($L479="","",INDEX(Ref_AccountRules,$L479,5))</f>
        <v/>
      </c>
      <c r="L479" s="1" t="str">
        <f t="shared" si="31"/>
        <v/>
      </c>
    </row>
    <row r="480" spans="2:12" x14ac:dyDescent="0.35">
      <c r="B480" s="12"/>
      <c r="C480" s="11"/>
      <c r="D480" s="11"/>
      <c r="E480" s="11"/>
      <c r="F480" s="1" t="str">
        <f t="shared" si="28"/>
        <v/>
      </c>
      <c r="G480" s="1" t="str">
        <f t="shared" si="29"/>
        <v/>
      </c>
      <c r="H480" s="1" t="str">
        <f t="shared" si="30"/>
        <v/>
      </c>
      <c r="I480" s="1" t="str">
        <f>IF($L480="","",INDEX(Ref_AccountRules,$L480,3))</f>
        <v/>
      </c>
      <c r="J480" s="1" t="str">
        <f>IF($L480="","",INDEX(Ref_AccountRules,$L480,4))</f>
        <v/>
      </c>
      <c r="K480" s="1" t="str">
        <f>IF($L480="","",INDEX(Ref_AccountRules,$L480,5))</f>
        <v/>
      </c>
      <c r="L480" s="1" t="str">
        <f t="shared" si="31"/>
        <v/>
      </c>
    </row>
    <row r="481" spans="2:12" x14ac:dyDescent="0.35">
      <c r="B481" s="12"/>
      <c r="C481" s="11"/>
      <c r="D481" s="11"/>
      <c r="E481" s="11"/>
      <c r="F481" s="1" t="str">
        <f t="shared" si="28"/>
        <v/>
      </c>
      <c r="G481" s="1" t="str">
        <f t="shared" si="29"/>
        <v/>
      </c>
      <c r="H481" s="1" t="str">
        <f t="shared" si="30"/>
        <v/>
      </c>
      <c r="I481" s="1" t="str">
        <f>IF($L481="","",INDEX(Ref_AccountRules,$L481,3))</f>
        <v/>
      </c>
      <c r="J481" s="1" t="str">
        <f>IF($L481="","",INDEX(Ref_AccountRules,$L481,4))</f>
        <v/>
      </c>
      <c r="K481" s="1" t="str">
        <f>IF($L481="","",INDEX(Ref_AccountRules,$L481,5))</f>
        <v/>
      </c>
      <c r="L481" s="1" t="str">
        <f t="shared" si="31"/>
        <v/>
      </c>
    </row>
    <row r="482" spans="2:12" x14ac:dyDescent="0.35">
      <c r="B482" s="12"/>
      <c r="C482" s="11"/>
      <c r="D482" s="11"/>
      <c r="E482" s="11"/>
      <c r="F482" s="1" t="str">
        <f t="shared" si="28"/>
        <v/>
      </c>
      <c r="G482" s="1" t="str">
        <f t="shared" si="29"/>
        <v/>
      </c>
      <c r="H482" s="1" t="str">
        <f t="shared" si="30"/>
        <v/>
      </c>
      <c r="I482" s="1" t="str">
        <f>IF($L482="","",INDEX(Ref_AccountRules,$L482,3))</f>
        <v/>
      </c>
      <c r="J482" s="1" t="str">
        <f>IF($L482="","",INDEX(Ref_AccountRules,$L482,4))</f>
        <v/>
      </c>
      <c r="K482" s="1" t="str">
        <f>IF($L482="","",INDEX(Ref_AccountRules,$L482,5))</f>
        <v/>
      </c>
      <c r="L482" s="1" t="str">
        <f t="shared" si="31"/>
        <v/>
      </c>
    </row>
    <row r="483" spans="2:12" x14ac:dyDescent="0.35">
      <c r="B483" s="12"/>
      <c r="C483" s="11"/>
      <c r="D483" s="11"/>
      <c r="E483" s="11"/>
      <c r="F483" s="1" t="str">
        <f t="shared" si="28"/>
        <v/>
      </c>
      <c r="G483" s="1" t="str">
        <f t="shared" si="29"/>
        <v/>
      </c>
      <c r="H483" s="1" t="str">
        <f t="shared" si="30"/>
        <v/>
      </c>
      <c r="I483" s="1" t="str">
        <f>IF($L483="","",INDEX(Ref_AccountRules,$L483,3))</f>
        <v/>
      </c>
      <c r="J483" s="1" t="str">
        <f>IF($L483="","",INDEX(Ref_AccountRules,$L483,4))</f>
        <v/>
      </c>
      <c r="K483" s="1" t="str">
        <f>IF($L483="","",INDEX(Ref_AccountRules,$L483,5))</f>
        <v/>
      </c>
      <c r="L483" s="1" t="str">
        <f t="shared" si="31"/>
        <v/>
      </c>
    </row>
    <row r="484" spans="2:12" x14ac:dyDescent="0.35">
      <c r="B484" s="12"/>
      <c r="C484" s="11"/>
      <c r="D484" s="11"/>
      <c r="E484" s="11"/>
      <c r="F484" s="1" t="str">
        <f t="shared" si="28"/>
        <v/>
      </c>
      <c r="G484" s="1" t="str">
        <f t="shared" si="29"/>
        <v/>
      </c>
      <c r="H484" s="1" t="str">
        <f t="shared" si="30"/>
        <v/>
      </c>
      <c r="I484" s="1" t="str">
        <f>IF($L484="","",INDEX(Ref_AccountRules,$L484,3))</f>
        <v/>
      </c>
      <c r="J484" s="1" t="str">
        <f>IF($L484="","",INDEX(Ref_AccountRules,$L484,4))</f>
        <v/>
      </c>
      <c r="K484" s="1" t="str">
        <f>IF($L484="","",INDEX(Ref_AccountRules,$L484,5))</f>
        <v/>
      </c>
      <c r="L484" s="1" t="str">
        <f t="shared" si="31"/>
        <v/>
      </c>
    </row>
    <row r="485" spans="2:12" x14ac:dyDescent="0.35">
      <c r="B485" s="12"/>
      <c r="C485" s="11"/>
      <c r="D485" s="11"/>
      <c r="E485" s="11"/>
      <c r="F485" s="1" t="str">
        <f t="shared" si="28"/>
        <v/>
      </c>
      <c r="G485" s="1" t="str">
        <f t="shared" si="29"/>
        <v/>
      </c>
      <c r="H485" s="1" t="str">
        <f t="shared" si="30"/>
        <v/>
      </c>
      <c r="I485" s="1" t="str">
        <f>IF($L485="","",INDEX(Ref_AccountRules,$L485,3))</f>
        <v/>
      </c>
      <c r="J485" s="1" t="str">
        <f>IF($L485="","",INDEX(Ref_AccountRules,$L485,4))</f>
        <v/>
      </c>
      <c r="K485" s="1" t="str">
        <f>IF($L485="","",INDEX(Ref_AccountRules,$L485,5))</f>
        <v/>
      </c>
      <c r="L485" s="1" t="str">
        <f t="shared" si="31"/>
        <v/>
      </c>
    </row>
    <row r="486" spans="2:12" x14ac:dyDescent="0.35">
      <c r="B486" s="12"/>
      <c r="C486" s="11"/>
      <c r="D486" s="11"/>
      <c r="E486" s="11"/>
      <c r="F486" s="1" t="str">
        <f t="shared" si="28"/>
        <v/>
      </c>
      <c r="G486" s="1" t="str">
        <f t="shared" si="29"/>
        <v/>
      </c>
      <c r="H486" s="1" t="str">
        <f t="shared" si="30"/>
        <v/>
      </c>
      <c r="I486" s="1" t="str">
        <f>IF($L486="","",INDEX(Ref_AccountRules,$L486,3))</f>
        <v/>
      </c>
      <c r="J486" s="1" t="str">
        <f>IF($L486="","",INDEX(Ref_AccountRules,$L486,4))</f>
        <v/>
      </c>
      <c r="K486" s="1" t="str">
        <f>IF($L486="","",INDEX(Ref_AccountRules,$L486,5))</f>
        <v/>
      </c>
      <c r="L486" s="1" t="str">
        <f t="shared" si="31"/>
        <v/>
      </c>
    </row>
    <row r="487" spans="2:12" x14ac:dyDescent="0.35">
      <c r="B487" s="12"/>
      <c r="C487" s="11"/>
      <c r="D487" s="11"/>
      <c r="E487" s="11"/>
      <c r="F487" s="1" t="str">
        <f t="shared" si="28"/>
        <v/>
      </c>
      <c r="G487" s="1" t="str">
        <f t="shared" si="29"/>
        <v/>
      </c>
      <c r="H487" s="1" t="str">
        <f t="shared" si="30"/>
        <v/>
      </c>
      <c r="I487" s="1" t="str">
        <f>IF($L487="","",INDEX(Ref_AccountRules,$L487,3))</f>
        <v/>
      </c>
      <c r="J487" s="1" t="str">
        <f>IF($L487="","",INDEX(Ref_AccountRules,$L487,4))</f>
        <v/>
      </c>
      <c r="K487" s="1" t="str">
        <f>IF($L487="","",INDEX(Ref_AccountRules,$L487,5))</f>
        <v/>
      </c>
      <c r="L487" s="1" t="str">
        <f t="shared" si="31"/>
        <v/>
      </c>
    </row>
    <row r="488" spans="2:12" x14ac:dyDescent="0.35">
      <c r="B488" s="12"/>
      <c r="C488" s="11"/>
      <c r="D488" s="11"/>
      <c r="E488" s="11"/>
      <c r="F488" s="1" t="str">
        <f t="shared" si="28"/>
        <v/>
      </c>
      <c r="G488" s="1" t="str">
        <f t="shared" si="29"/>
        <v/>
      </c>
      <c r="H488" s="1" t="str">
        <f t="shared" si="30"/>
        <v/>
      </c>
      <c r="I488" s="1" t="str">
        <f>IF($L488="","",INDEX(Ref_AccountRules,$L488,3))</f>
        <v/>
      </c>
      <c r="J488" s="1" t="str">
        <f>IF($L488="","",INDEX(Ref_AccountRules,$L488,4))</f>
        <v/>
      </c>
      <c r="K488" s="1" t="str">
        <f>IF($L488="","",INDEX(Ref_AccountRules,$L488,5))</f>
        <v/>
      </c>
      <c r="L488" s="1" t="str">
        <f t="shared" si="31"/>
        <v/>
      </c>
    </row>
    <row r="489" spans="2:12" x14ac:dyDescent="0.35">
      <c r="B489" s="12"/>
      <c r="C489" s="11"/>
      <c r="D489" s="11"/>
      <c r="E489" s="11"/>
      <c r="F489" s="1" t="str">
        <f t="shared" si="28"/>
        <v/>
      </c>
      <c r="G489" s="1" t="str">
        <f t="shared" si="29"/>
        <v/>
      </c>
      <c r="H489" s="1" t="str">
        <f t="shared" si="30"/>
        <v/>
      </c>
      <c r="I489" s="1" t="str">
        <f>IF($L489="","",INDEX(Ref_AccountRules,$L489,3))</f>
        <v/>
      </c>
      <c r="J489" s="1" t="str">
        <f>IF($L489="","",INDEX(Ref_AccountRules,$L489,4))</f>
        <v/>
      </c>
      <c r="K489" s="1" t="str">
        <f>IF($L489="","",INDEX(Ref_AccountRules,$L489,5))</f>
        <v/>
      </c>
      <c r="L489" s="1" t="str">
        <f t="shared" si="31"/>
        <v/>
      </c>
    </row>
    <row r="490" spans="2:12" x14ac:dyDescent="0.35">
      <c r="B490" s="12"/>
      <c r="C490" s="11"/>
      <c r="D490" s="11"/>
      <c r="E490" s="11"/>
      <c r="F490" s="1" t="str">
        <f t="shared" si="28"/>
        <v/>
      </c>
      <c r="G490" s="1" t="str">
        <f t="shared" si="29"/>
        <v/>
      </c>
      <c r="H490" s="1" t="str">
        <f t="shared" si="30"/>
        <v/>
      </c>
      <c r="I490" s="1" t="str">
        <f>IF($L490="","",INDEX(Ref_AccountRules,$L490,3))</f>
        <v/>
      </c>
      <c r="J490" s="1" t="str">
        <f>IF($L490="","",INDEX(Ref_AccountRules,$L490,4))</f>
        <v/>
      </c>
      <c r="K490" s="1" t="str">
        <f>IF($L490="","",INDEX(Ref_AccountRules,$L490,5))</f>
        <v/>
      </c>
      <c r="L490" s="1" t="str">
        <f t="shared" si="31"/>
        <v/>
      </c>
    </row>
    <row r="491" spans="2:12" x14ac:dyDescent="0.35">
      <c r="B491" s="12"/>
      <c r="C491" s="11"/>
      <c r="D491" s="11"/>
      <c r="E491" s="11"/>
      <c r="F491" s="1" t="str">
        <f t="shared" si="28"/>
        <v/>
      </c>
      <c r="G491" s="1" t="str">
        <f t="shared" si="29"/>
        <v/>
      </c>
      <c r="H491" s="1" t="str">
        <f t="shared" si="30"/>
        <v/>
      </c>
      <c r="I491" s="1" t="str">
        <f>IF($L491="","",INDEX(Ref_AccountRules,$L491,3))</f>
        <v/>
      </c>
      <c r="J491" s="1" t="str">
        <f>IF($L491="","",INDEX(Ref_AccountRules,$L491,4))</f>
        <v/>
      </c>
      <c r="K491" s="1" t="str">
        <f>IF($L491="","",INDEX(Ref_AccountRules,$L491,5))</f>
        <v/>
      </c>
      <c r="L491" s="1" t="str">
        <f t="shared" si="31"/>
        <v/>
      </c>
    </row>
    <row r="492" spans="2:12" x14ac:dyDescent="0.35">
      <c r="B492" s="12"/>
      <c r="C492" s="11"/>
      <c r="D492" s="11"/>
      <c r="E492" s="11"/>
      <c r="F492" s="1" t="str">
        <f t="shared" si="28"/>
        <v/>
      </c>
      <c r="G492" s="1" t="str">
        <f t="shared" si="29"/>
        <v/>
      </c>
      <c r="H492" s="1" t="str">
        <f t="shared" si="30"/>
        <v/>
      </c>
      <c r="I492" s="1" t="str">
        <f>IF($L492="","",INDEX(Ref_AccountRules,$L492,3))</f>
        <v/>
      </c>
      <c r="J492" s="1" t="str">
        <f>IF($L492="","",INDEX(Ref_AccountRules,$L492,4))</f>
        <v/>
      </c>
      <c r="K492" s="1" t="str">
        <f>IF($L492="","",INDEX(Ref_AccountRules,$L492,5))</f>
        <v/>
      </c>
      <c r="L492" s="1" t="str">
        <f t="shared" si="31"/>
        <v/>
      </c>
    </row>
    <row r="493" spans="2:12" x14ac:dyDescent="0.35">
      <c r="B493" s="12"/>
      <c r="C493" s="11"/>
      <c r="D493" s="11"/>
      <c r="E493" s="11"/>
      <c r="F493" s="1" t="str">
        <f t="shared" si="28"/>
        <v/>
      </c>
      <c r="G493" s="1" t="str">
        <f t="shared" si="29"/>
        <v/>
      </c>
      <c r="H493" s="1" t="str">
        <f t="shared" si="30"/>
        <v/>
      </c>
      <c r="I493" s="1" t="str">
        <f>IF($L493="","",INDEX(Ref_AccountRules,$L493,3))</f>
        <v/>
      </c>
      <c r="J493" s="1" t="str">
        <f>IF($L493="","",INDEX(Ref_AccountRules,$L493,4))</f>
        <v/>
      </c>
      <c r="K493" s="1" t="str">
        <f>IF($L493="","",INDEX(Ref_AccountRules,$L493,5))</f>
        <v/>
      </c>
      <c r="L493" s="1" t="str">
        <f t="shared" si="31"/>
        <v/>
      </c>
    </row>
    <row r="494" spans="2:12" x14ac:dyDescent="0.35">
      <c r="B494" s="12"/>
      <c r="C494" s="11"/>
      <c r="D494" s="11"/>
      <c r="E494" s="11"/>
      <c r="F494" s="1" t="str">
        <f t="shared" si="28"/>
        <v/>
      </c>
      <c r="G494" s="1" t="str">
        <f t="shared" si="29"/>
        <v/>
      </c>
      <c r="H494" s="1" t="str">
        <f t="shared" si="30"/>
        <v/>
      </c>
      <c r="I494" s="1" t="str">
        <f>IF($L494="","",INDEX(Ref_AccountRules,$L494,3))</f>
        <v/>
      </c>
      <c r="J494" s="1" t="str">
        <f>IF($L494="","",INDEX(Ref_AccountRules,$L494,4))</f>
        <v/>
      </c>
      <c r="K494" s="1" t="str">
        <f>IF($L494="","",INDEX(Ref_AccountRules,$L494,5))</f>
        <v/>
      </c>
      <c r="L494" s="1" t="str">
        <f t="shared" si="31"/>
        <v/>
      </c>
    </row>
    <row r="495" spans="2:12" x14ac:dyDescent="0.35">
      <c r="B495" s="12"/>
      <c r="C495" s="11"/>
      <c r="D495" s="11"/>
      <c r="E495" s="11"/>
      <c r="F495" s="1" t="str">
        <f t="shared" si="28"/>
        <v/>
      </c>
      <c r="G495" s="1" t="str">
        <f t="shared" si="29"/>
        <v/>
      </c>
      <c r="H495" s="1" t="str">
        <f t="shared" si="30"/>
        <v/>
      </c>
      <c r="I495" s="1" t="str">
        <f>IF($L495="","",INDEX(Ref_AccountRules,$L495,3))</f>
        <v/>
      </c>
      <c r="J495" s="1" t="str">
        <f>IF($L495="","",INDEX(Ref_AccountRules,$L495,4))</f>
        <v/>
      </c>
      <c r="K495" s="1" t="str">
        <f>IF($L495="","",INDEX(Ref_AccountRules,$L495,5))</f>
        <v/>
      </c>
      <c r="L495" s="1" t="str">
        <f t="shared" si="31"/>
        <v/>
      </c>
    </row>
    <row r="496" spans="2:12" x14ac:dyDescent="0.35">
      <c r="B496" s="12"/>
      <c r="C496" s="11"/>
      <c r="D496" s="11"/>
      <c r="E496" s="11"/>
      <c r="F496" s="1" t="str">
        <f t="shared" si="28"/>
        <v/>
      </c>
      <c r="G496" s="1" t="str">
        <f t="shared" si="29"/>
        <v/>
      </c>
      <c r="H496" s="1" t="str">
        <f t="shared" si="30"/>
        <v/>
      </c>
      <c r="I496" s="1" t="str">
        <f>IF($L496="","",INDEX(Ref_AccountRules,$L496,3))</f>
        <v/>
      </c>
      <c r="J496" s="1" t="str">
        <f>IF($L496="","",INDEX(Ref_AccountRules,$L496,4))</f>
        <v/>
      </c>
      <c r="K496" s="1" t="str">
        <f>IF($L496="","",INDEX(Ref_AccountRules,$L496,5))</f>
        <v/>
      </c>
      <c r="L496" s="1" t="str">
        <f t="shared" si="31"/>
        <v/>
      </c>
    </row>
    <row r="497" spans="2:12" x14ac:dyDescent="0.35">
      <c r="B497" s="12"/>
      <c r="C497" s="11"/>
      <c r="D497" s="11"/>
      <c r="E497" s="11"/>
      <c r="F497" s="1" t="str">
        <f t="shared" si="28"/>
        <v/>
      </c>
      <c r="G497" s="1" t="str">
        <f t="shared" si="29"/>
        <v/>
      </c>
      <c r="H497" s="1" t="str">
        <f t="shared" si="30"/>
        <v/>
      </c>
      <c r="I497" s="1" t="str">
        <f>IF($L497="","",INDEX(Ref_AccountRules,$L497,3))</f>
        <v/>
      </c>
      <c r="J497" s="1" t="str">
        <f>IF($L497="","",INDEX(Ref_AccountRules,$L497,4))</f>
        <v/>
      </c>
      <c r="K497" s="1" t="str">
        <f>IF($L497="","",INDEX(Ref_AccountRules,$L497,5))</f>
        <v/>
      </c>
      <c r="L497" s="1" t="str">
        <f t="shared" si="31"/>
        <v/>
      </c>
    </row>
    <row r="498" spans="2:12" x14ac:dyDescent="0.35">
      <c r="B498" s="12"/>
      <c r="C498" s="11"/>
      <c r="D498" s="11"/>
      <c r="E498" s="11"/>
      <c r="F498" s="1" t="str">
        <f t="shared" si="28"/>
        <v/>
      </c>
      <c r="G498" s="1" t="str">
        <f t="shared" si="29"/>
        <v/>
      </c>
      <c r="H498" s="1" t="str">
        <f t="shared" si="30"/>
        <v/>
      </c>
      <c r="I498" s="1" t="str">
        <f>IF($L498="","",INDEX(Ref_AccountRules,$L498,3))</f>
        <v/>
      </c>
      <c r="J498" s="1" t="str">
        <f>IF($L498="","",INDEX(Ref_AccountRules,$L498,4))</f>
        <v/>
      </c>
      <c r="K498" s="1" t="str">
        <f>IF($L498="","",INDEX(Ref_AccountRules,$L498,5))</f>
        <v/>
      </c>
      <c r="L498" s="1" t="str">
        <f t="shared" si="31"/>
        <v/>
      </c>
    </row>
    <row r="499" spans="2:12" x14ac:dyDescent="0.35">
      <c r="B499" s="12"/>
      <c r="C499" s="11"/>
      <c r="D499" s="11"/>
      <c r="E499" s="11"/>
      <c r="F499" s="1" t="str">
        <f t="shared" si="28"/>
        <v/>
      </c>
      <c r="G499" s="1" t="str">
        <f t="shared" si="29"/>
        <v/>
      </c>
      <c r="H499" s="1" t="str">
        <f t="shared" si="30"/>
        <v/>
      </c>
      <c r="I499" s="1" t="str">
        <f>IF($L499="","",INDEX(Ref_AccountRules,$L499,3))</f>
        <v/>
      </c>
      <c r="J499" s="1" t="str">
        <f>IF($L499="","",INDEX(Ref_AccountRules,$L499,4))</f>
        <v/>
      </c>
      <c r="K499" s="1" t="str">
        <f>IF($L499="","",INDEX(Ref_AccountRules,$L499,5))</f>
        <v/>
      </c>
      <c r="L499" s="1" t="str">
        <f t="shared" si="31"/>
        <v/>
      </c>
    </row>
    <row r="500" spans="2:12" x14ac:dyDescent="0.35">
      <c r="B500" s="12"/>
      <c r="C500" s="11"/>
      <c r="D500" s="11"/>
      <c r="E500" s="11"/>
      <c r="F500" s="1" t="str">
        <f t="shared" si="28"/>
        <v/>
      </c>
      <c r="G500" s="1" t="str">
        <f t="shared" si="29"/>
        <v/>
      </c>
      <c r="H500" s="1" t="str">
        <f t="shared" si="30"/>
        <v/>
      </c>
      <c r="I500" s="1" t="str">
        <f>IF($L500="","",INDEX(Ref_AccountRules,$L500,3))</f>
        <v/>
      </c>
      <c r="J500" s="1" t="str">
        <f>IF($L500="","",INDEX(Ref_AccountRules,$L500,4))</f>
        <v/>
      </c>
      <c r="K500" s="1" t="str">
        <f>IF($L500="","",INDEX(Ref_AccountRules,$L500,5))</f>
        <v/>
      </c>
      <c r="L500" s="1" t="str">
        <f t="shared" si="31"/>
        <v/>
      </c>
    </row>
    <row r="501" spans="2:12" x14ac:dyDescent="0.35">
      <c r="B501" s="12"/>
      <c r="C501" s="11"/>
      <c r="D501" s="11"/>
      <c r="E501" s="11"/>
      <c r="F501" s="1" t="str">
        <f t="shared" si="28"/>
        <v/>
      </c>
      <c r="G501" s="1" t="str">
        <f t="shared" si="29"/>
        <v/>
      </c>
      <c r="H501" s="1" t="str">
        <f t="shared" si="30"/>
        <v/>
      </c>
      <c r="I501" s="1" t="str">
        <f>IF($L501="","",INDEX(Ref_AccountRules,$L501,3))</f>
        <v/>
      </c>
      <c r="J501" s="1" t="str">
        <f>IF($L501="","",INDEX(Ref_AccountRules,$L501,4))</f>
        <v/>
      </c>
      <c r="K501" s="1" t="str">
        <f>IF($L501="","",INDEX(Ref_AccountRules,$L501,5))</f>
        <v/>
      </c>
      <c r="L501" s="1" t="str">
        <f t="shared" si="31"/>
        <v/>
      </c>
    </row>
    <row r="502" spans="2:12" x14ac:dyDescent="0.35">
      <c r="B502" s="12"/>
      <c r="C502" s="11"/>
      <c r="D502" s="11"/>
      <c r="E502" s="11"/>
      <c r="F502" s="1" t="str">
        <f t="shared" si="28"/>
        <v/>
      </c>
      <c r="G502" s="1" t="str">
        <f t="shared" si="29"/>
        <v/>
      </c>
      <c r="H502" s="1" t="str">
        <f t="shared" si="30"/>
        <v/>
      </c>
      <c r="I502" s="1" t="str">
        <f>IF($L502="","",INDEX(Ref_AccountRules,$L502,3))</f>
        <v/>
      </c>
      <c r="J502" s="1" t="str">
        <f>IF($L502="","",INDEX(Ref_AccountRules,$L502,4))</f>
        <v/>
      </c>
      <c r="K502" s="1" t="str">
        <f>IF($L502="","",INDEX(Ref_AccountRules,$L502,5))</f>
        <v/>
      </c>
      <c r="L502" s="1" t="str">
        <f t="shared" si="31"/>
        <v/>
      </c>
    </row>
    <row r="503" spans="2:12" x14ac:dyDescent="0.35">
      <c r="B503" s="12"/>
      <c r="C503" s="11"/>
      <c r="D503" s="11"/>
      <c r="E503" s="11"/>
      <c r="F503" s="1" t="str">
        <f t="shared" si="28"/>
        <v/>
      </c>
      <c r="G503" s="1" t="str">
        <f t="shared" si="29"/>
        <v/>
      </c>
      <c r="H503" s="1" t="str">
        <f t="shared" si="30"/>
        <v/>
      </c>
      <c r="I503" s="1" t="str">
        <f>IF($L503="","",INDEX(Ref_AccountRules,$L503,3))</f>
        <v/>
      </c>
      <c r="J503" s="1" t="str">
        <f>IF($L503="","",INDEX(Ref_AccountRules,$L503,4))</f>
        <v/>
      </c>
      <c r="K503" s="1" t="str">
        <f>IF($L503="","",INDEX(Ref_AccountRules,$L503,5))</f>
        <v/>
      </c>
      <c r="L503" s="1" t="str">
        <f t="shared" si="31"/>
        <v/>
      </c>
    </row>
    <row r="504" spans="2:12" x14ac:dyDescent="0.35">
      <c r="B504" s="12"/>
      <c r="C504" s="11"/>
      <c r="D504" s="11"/>
      <c r="E504" s="11"/>
      <c r="F504" s="1" t="str">
        <f t="shared" si="28"/>
        <v/>
      </c>
      <c r="G504" s="1" t="str">
        <f t="shared" si="29"/>
        <v/>
      </c>
      <c r="H504" s="1" t="str">
        <f t="shared" si="30"/>
        <v/>
      </c>
      <c r="I504" s="1" t="str">
        <f>IF($L504="","",INDEX(Ref_AccountRules,$L504,3))</f>
        <v/>
      </c>
      <c r="J504" s="1" t="str">
        <f>IF($L504="","",INDEX(Ref_AccountRules,$L504,4))</f>
        <v/>
      </c>
      <c r="K504" s="1" t="str">
        <f>IF($L504="","",INDEX(Ref_AccountRules,$L504,5))</f>
        <v/>
      </c>
      <c r="L504" s="1" t="str">
        <f t="shared" si="31"/>
        <v/>
      </c>
    </row>
    <row r="505" spans="2:12" x14ac:dyDescent="0.35">
      <c r="B505" s="12"/>
      <c r="C505" s="11"/>
      <c r="D505" s="11"/>
      <c r="E505" s="11"/>
      <c r="F505" s="1" t="str">
        <f t="shared" si="28"/>
        <v/>
      </c>
      <c r="G505" s="1" t="str">
        <f t="shared" si="29"/>
        <v/>
      </c>
      <c r="H505" s="1" t="str">
        <f t="shared" si="30"/>
        <v/>
      </c>
      <c r="I505" s="1" t="str">
        <f>IF($L505="","",INDEX(Ref_AccountRules,$L505,3))</f>
        <v/>
      </c>
      <c r="J505" s="1" t="str">
        <f>IF($L505="","",INDEX(Ref_AccountRules,$L505,4))</f>
        <v/>
      </c>
      <c r="K505" s="1" t="str">
        <f>IF($L505="","",INDEX(Ref_AccountRules,$L505,5))</f>
        <v/>
      </c>
      <c r="L505" s="1" t="str">
        <f t="shared" si="31"/>
        <v/>
      </c>
    </row>
    <row r="506" spans="2:12" x14ac:dyDescent="0.35">
      <c r="B506" s="12"/>
      <c r="C506" s="11"/>
      <c r="D506" s="11"/>
      <c r="E506" s="11"/>
      <c r="F506" s="1" t="str">
        <f t="shared" si="28"/>
        <v/>
      </c>
      <c r="G506" s="1" t="str">
        <f t="shared" si="29"/>
        <v/>
      </c>
      <c r="H506" s="1" t="str">
        <f t="shared" si="30"/>
        <v/>
      </c>
      <c r="I506" s="1" t="str">
        <f>IF($L506="","",INDEX(Ref_AccountRules,$L506,3))</f>
        <v/>
      </c>
      <c r="J506" s="1" t="str">
        <f>IF($L506="","",INDEX(Ref_AccountRules,$L506,4))</f>
        <v/>
      </c>
      <c r="K506" s="1" t="str">
        <f>IF($L506="","",INDEX(Ref_AccountRules,$L506,5))</f>
        <v/>
      </c>
      <c r="L506" s="1" t="str">
        <f t="shared" si="31"/>
        <v/>
      </c>
    </row>
    <row r="507" spans="2:12" x14ac:dyDescent="0.35">
      <c r="B507" s="12"/>
      <c r="C507" s="11"/>
      <c r="D507" s="11"/>
      <c r="E507" s="11"/>
      <c r="F507" s="1" t="str">
        <f t="shared" si="28"/>
        <v/>
      </c>
      <c r="G507" s="1" t="str">
        <f t="shared" si="29"/>
        <v/>
      </c>
      <c r="H507" s="1" t="str">
        <f t="shared" si="30"/>
        <v/>
      </c>
      <c r="I507" s="1" t="str">
        <f>IF($L507="","",INDEX(Ref_AccountRules,$L507,3))</f>
        <v/>
      </c>
      <c r="J507" s="1" t="str">
        <f>IF($L507="","",INDEX(Ref_AccountRules,$L507,4))</f>
        <v/>
      </c>
      <c r="K507" s="1" t="str">
        <f>IF($L507="","",INDEX(Ref_AccountRules,$L507,5))</f>
        <v/>
      </c>
      <c r="L507" s="1" t="str">
        <f t="shared" si="31"/>
        <v/>
      </c>
    </row>
    <row r="508" spans="2:12" x14ac:dyDescent="0.35">
      <c r="B508" s="12"/>
      <c r="C508" s="11"/>
      <c r="D508" s="11"/>
      <c r="E508" s="11"/>
      <c r="F508" s="1" t="str">
        <f t="shared" si="28"/>
        <v/>
      </c>
      <c r="G508" s="1" t="str">
        <f t="shared" si="29"/>
        <v/>
      </c>
      <c r="H508" s="1" t="str">
        <f t="shared" si="30"/>
        <v/>
      </c>
      <c r="I508" s="1" t="str">
        <f>IF($L508="","",INDEX(Ref_AccountRules,$L508,3))</f>
        <v/>
      </c>
      <c r="J508" s="1" t="str">
        <f>IF($L508="","",INDEX(Ref_AccountRules,$L508,4))</f>
        <v/>
      </c>
      <c r="K508" s="1" t="str">
        <f>IF($L508="","",INDEX(Ref_AccountRules,$L508,5))</f>
        <v/>
      </c>
      <c r="L508" s="1" t="str">
        <f t="shared" si="31"/>
        <v/>
      </c>
    </row>
    <row r="509" spans="2:12" x14ac:dyDescent="0.35">
      <c r="B509" s="12"/>
      <c r="C509" s="11"/>
      <c r="D509" s="11"/>
      <c r="E509" s="11"/>
      <c r="F509" s="1" t="str">
        <f t="shared" si="28"/>
        <v/>
      </c>
      <c r="G509" s="1" t="str">
        <f t="shared" si="29"/>
        <v/>
      </c>
      <c r="H509" s="1" t="str">
        <f t="shared" si="30"/>
        <v/>
      </c>
      <c r="I509" s="1" t="str">
        <f>IF($L509="","",INDEX(Ref_AccountRules,$L509,3))</f>
        <v/>
      </c>
      <c r="J509" s="1" t="str">
        <f>IF($L509="","",INDEX(Ref_AccountRules,$L509,4))</f>
        <v/>
      </c>
      <c r="K509" s="1" t="str">
        <f>IF($L509="","",INDEX(Ref_AccountRules,$L509,5))</f>
        <v/>
      </c>
      <c r="L509" s="1" t="str">
        <f t="shared" si="31"/>
        <v/>
      </c>
    </row>
    <row r="510" spans="2:12" x14ac:dyDescent="0.35">
      <c r="B510" s="12"/>
      <c r="C510" s="11"/>
      <c r="D510" s="11"/>
      <c r="E510" s="11"/>
      <c r="F510" s="1" t="str">
        <f t="shared" si="28"/>
        <v/>
      </c>
      <c r="G510" s="1" t="str">
        <f t="shared" si="29"/>
        <v/>
      </c>
      <c r="H510" s="1" t="str">
        <f t="shared" si="30"/>
        <v/>
      </c>
      <c r="I510" s="1" t="str">
        <f>IF($L510="","",INDEX(Ref_AccountRules,$L510,3))</f>
        <v/>
      </c>
      <c r="J510" s="1" t="str">
        <f>IF($L510="","",INDEX(Ref_AccountRules,$L510,4))</f>
        <v/>
      </c>
      <c r="K510" s="1" t="str">
        <f>IF($L510="","",INDEX(Ref_AccountRules,$L510,5))</f>
        <v/>
      </c>
      <c r="L510" s="1" t="str">
        <f t="shared" si="31"/>
        <v/>
      </c>
    </row>
    <row r="511" spans="2:12" x14ac:dyDescent="0.35">
      <c r="B511" s="12"/>
      <c r="C511" s="11"/>
      <c r="D511" s="11"/>
      <c r="E511" s="11"/>
      <c r="F511" s="1" t="str">
        <f t="shared" si="28"/>
        <v/>
      </c>
      <c r="G511" s="1" t="str">
        <f t="shared" si="29"/>
        <v/>
      </c>
      <c r="H511" s="1" t="str">
        <f t="shared" si="30"/>
        <v/>
      </c>
      <c r="I511" s="1" t="str">
        <f>IF($L511="","",INDEX(Ref_AccountRules,$L511,3))</f>
        <v/>
      </c>
      <c r="J511" s="1" t="str">
        <f>IF($L511="","",INDEX(Ref_AccountRules,$L511,4))</f>
        <v/>
      </c>
      <c r="K511" s="1" t="str">
        <f>IF($L511="","",INDEX(Ref_AccountRules,$L511,5))</f>
        <v/>
      </c>
      <c r="L511" s="1" t="str">
        <f t="shared" si="31"/>
        <v/>
      </c>
    </row>
    <row r="512" spans="2:12" x14ac:dyDescent="0.35">
      <c r="B512" s="12"/>
      <c r="C512" s="11"/>
      <c r="D512" s="11"/>
      <c r="E512" s="11"/>
      <c r="F512" s="1" t="str">
        <f t="shared" si="28"/>
        <v/>
      </c>
      <c r="G512" s="1" t="str">
        <f t="shared" si="29"/>
        <v/>
      </c>
      <c r="H512" s="1" t="str">
        <f t="shared" si="30"/>
        <v/>
      </c>
      <c r="I512" s="1" t="str">
        <f>IF($L512="","",INDEX(Ref_AccountRules,$L512,3))</f>
        <v/>
      </c>
      <c r="J512" s="1" t="str">
        <f>IF($L512="","",INDEX(Ref_AccountRules,$L512,4))</f>
        <v/>
      </c>
      <c r="K512" s="1" t="str">
        <f>IF($L512="","",INDEX(Ref_AccountRules,$L512,5))</f>
        <v/>
      </c>
      <c r="L512" s="1" t="str">
        <f t="shared" si="31"/>
        <v/>
      </c>
    </row>
    <row r="513" spans="2:12" x14ac:dyDescent="0.35">
      <c r="B513" s="12"/>
      <c r="C513" s="11"/>
      <c r="D513" s="11"/>
      <c r="E513" s="11"/>
      <c r="F513" s="1" t="str">
        <f t="shared" si="28"/>
        <v/>
      </c>
      <c r="G513" s="1" t="str">
        <f t="shared" si="29"/>
        <v/>
      </c>
      <c r="H513" s="1" t="str">
        <f t="shared" si="30"/>
        <v/>
      </c>
      <c r="I513" s="1" t="str">
        <f>IF($L513="","",INDEX(Ref_AccountRules,$L513,3))</f>
        <v/>
      </c>
      <c r="J513" s="1" t="str">
        <f>IF($L513="","",INDEX(Ref_AccountRules,$L513,4))</f>
        <v/>
      </c>
      <c r="K513" s="1" t="str">
        <f>IF($L513="","",INDEX(Ref_AccountRules,$L513,5))</f>
        <v/>
      </c>
      <c r="L513" s="1" t="str">
        <f t="shared" si="31"/>
        <v/>
      </c>
    </row>
    <row r="514" spans="2:12" x14ac:dyDescent="0.35">
      <c r="B514" s="12"/>
      <c r="C514" s="11"/>
      <c r="D514" s="11"/>
      <c r="E514" s="11"/>
      <c r="F514" s="1" t="str">
        <f t="shared" si="28"/>
        <v/>
      </c>
      <c r="G514" s="1" t="str">
        <f t="shared" si="29"/>
        <v/>
      </c>
      <c r="H514" s="1" t="str">
        <f t="shared" si="30"/>
        <v/>
      </c>
      <c r="I514" s="1" t="str">
        <f>IF($L514="","",INDEX(Ref_AccountRules,$L514,3))</f>
        <v/>
      </c>
      <c r="J514" s="1" t="str">
        <f>IF($L514="","",INDEX(Ref_AccountRules,$L514,4))</f>
        <v/>
      </c>
      <c r="K514" s="1" t="str">
        <f>IF($L514="","",INDEX(Ref_AccountRules,$L514,5))</f>
        <v/>
      </c>
      <c r="L514" s="1" t="str">
        <f t="shared" si="31"/>
        <v/>
      </c>
    </row>
    <row r="515" spans="2:12" x14ac:dyDescent="0.35">
      <c r="B515" s="12"/>
      <c r="C515" s="11"/>
      <c r="D515" s="11"/>
      <c r="E515" s="11"/>
      <c r="F515" s="1" t="str">
        <f t="shared" si="28"/>
        <v/>
      </c>
      <c r="G515" s="1" t="str">
        <f t="shared" si="29"/>
        <v/>
      </c>
      <c r="H515" s="1" t="str">
        <f t="shared" si="30"/>
        <v/>
      </c>
      <c r="I515" s="1" t="str">
        <f>IF($L515="","",INDEX(Ref_AccountRules,$L515,3))</f>
        <v/>
      </c>
      <c r="J515" s="1" t="str">
        <f>IF($L515="","",INDEX(Ref_AccountRules,$L515,4))</f>
        <v/>
      </c>
      <c r="K515" s="1" t="str">
        <f>IF($L515="","",INDEX(Ref_AccountRules,$L515,5))</f>
        <v/>
      </c>
      <c r="L515" s="1" t="str">
        <f t="shared" si="31"/>
        <v/>
      </c>
    </row>
    <row r="516" spans="2:12" x14ac:dyDescent="0.35">
      <c r="B516" s="12"/>
      <c r="C516" s="11"/>
      <c r="D516" s="11"/>
      <c r="E516" s="11"/>
      <c r="F516" s="1" t="str">
        <f t="shared" si="28"/>
        <v/>
      </c>
      <c r="G516" s="1" t="str">
        <f t="shared" si="29"/>
        <v/>
      </c>
      <c r="H516" s="1" t="str">
        <f t="shared" si="30"/>
        <v/>
      </c>
      <c r="I516" s="1" t="str">
        <f>IF($L516="","",INDEX(Ref_AccountRules,$L516,3))</f>
        <v/>
      </c>
      <c r="J516" s="1" t="str">
        <f>IF($L516="","",INDEX(Ref_AccountRules,$L516,4))</f>
        <v/>
      </c>
      <c r="K516" s="1" t="str">
        <f>IF($L516="","",INDEX(Ref_AccountRules,$L516,5))</f>
        <v/>
      </c>
      <c r="L516" s="1" t="str">
        <f t="shared" si="31"/>
        <v/>
      </c>
    </row>
    <row r="517" spans="2:12" x14ac:dyDescent="0.35">
      <c r="B517" s="12"/>
      <c r="C517" s="11"/>
      <c r="D517" s="11"/>
      <c r="E517" s="11"/>
      <c r="F517" s="1" t="str">
        <f t="shared" si="28"/>
        <v/>
      </c>
      <c r="G517" s="1" t="str">
        <f t="shared" si="29"/>
        <v/>
      </c>
      <c r="H517" s="1" t="str">
        <f t="shared" si="30"/>
        <v/>
      </c>
      <c r="I517" s="1" t="str">
        <f>IF($L517="","",INDEX(Ref_AccountRules,$L517,3))</f>
        <v/>
      </c>
      <c r="J517" s="1" t="str">
        <f>IF($L517="","",INDEX(Ref_AccountRules,$L517,4))</f>
        <v/>
      </c>
      <c r="K517" s="1" t="str">
        <f>IF($L517="","",INDEX(Ref_AccountRules,$L517,5))</f>
        <v/>
      </c>
      <c r="L517" s="1" t="str">
        <f t="shared" si="31"/>
        <v/>
      </c>
    </row>
    <row r="518" spans="2:12" x14ac:dyDescent="0.35">
      <c r="B518" s="12"/>
      <c r="C518" s="11"/>
      <c r="D518" s="11"/>
      <c r="E518" s="11"/>
      <c r="F518" s="1" t="str">
        <f t="shared" si="28"/>
        <v/>
      </c>
      <c r="G518" s="1" t="str">
        <f t="shared" si="29"/>
        <v/>
      </c>
      <c r="H518" s="1" t="str">
        <f t="shared" si="30"/>
        <v/>
      </c>
      <c r="I518" s="1" t="str">
        <f>IF($L518="","",INDEX(Ref_AccountRules,$L518,3))</f>
        <v/>
      </c>
      <c r="J518" s="1" t="str">
        <f>IF($L518="","",INDEX(Ref_AccountRules,$L518,4))</f>
        <v/>
      </c>
      <c r="K518" s="1" t="str">
        <f>IF($L518="","",INDEX(Ref_AccountRules,$L518,5))</f>
        <v/>
      </c>
      <c r="L518" s="1" t="str">
        <f t="shared" si="31"/>
        <v/>
      </c>
    </row>
    <row r="519" spans="2:12" x14ac:dyDescent="0.35">
      <c r="B519" s="12"/>
      <c r="C519" s="11"/>
      <c r="D519" s="11"/>
      <c r="E519" s="11"/>
      <c r="F519" s="1" t="str">
        <f t="shared" si="28"/>
        <v/>
      </c>
      <c r="G519" s="1" t="str">
        <f t="shared" si="29"/>
        <v/>
      </c>
      <c r="H519" s="1" t="str">
        <f t="shared" si="30"/>
        <v/>
      </c>
      <c r="I519" s="1" t="str">
        <f>IF($L519="","",INDEX(Ref_AccountRules,$L519,3))</f>
        <v/>
      </c>
      <c r="J519" s="1" t="str">
        <f>IF($L519="","",INDEX(Ref_AccountRules,$L519,4))</f>
        <v/>
      </c>
      <c r="K519" s="1" t="str">
        <f>IF($L519="","",INDEX(Ref_AccountRules,$L519,5))</f>
        <v/>
      </c>
      <c r="L519" s="1" t="str">
        <f t="shared" si="31"/>
        <v/>
      </c>
    </row>
    <row r="520" spans="2:12" x14ac:dyDescent="0.35">
      <c r="B520" s="12"/>
      <c r="C520" s="11"/>
      <c r="D520" s="11"/>
      <c r="E520" s="11"/>
      <c r="F520" s="1" t="str">
        <f t="shared" si="28"/>
        <v/>
      </c>
      <c r="G520" s="1" t="str">
        <f t="shared" si="29"/>
        <v/>
      </c>
      <c r="H520" s="1" t="str">
        <f t="shared" si="30"/>
        <v/>
      </c>
      <c r="I520" s="1" t="str">
        <f>IF($L520="","",INDEX(Ref_AccountRules,$L520,3))</f>
        <v/>
      </c>
      <c r="J520" s="1" t="str">
        <f>IF($L520="","",INDEX(Ref_AccountRules,$L520,4))</f>
        <v/>
      </c>
      <c r="K520" s="1" t="str">
        <f>IF($L520="","",INDEX(Ref_AccountRules,$L520,5))</f>
        <v/>
      </c>
      <c r="L520" s="1" t="str">
        <f t="shared" si="31"/>
        <v/>
      </c>
    </row>
    <row r="521" spans="2:12" x14ac:dyDescent="0.35">
      <c r="B521" s="12"/>
      <c r="C521" s="11"/>
      <c r="D521" s="11"/>
      <c r="E521" s="11"/>
      <c r="F521" s="1" t="str">
        <f t="shared" si="28"/>
        <v/>
      </c>
      <c r="G521" s="1" t="str">
        <f t="shared" si="29"/>
        <v/>
      </c>
      <c r="H521" s="1" t="str">
        <f t="shared" si="30"/>
        <v/>
      </c>
      <c r="I521" s="1" t="str">
        <f>IF($L521="","",INDEX(Ref_AccountRules,$L521,3))</f>
        <v/>
      </c>
      <c r="J521" s="1" t="str">
        <f>IF($L521="","",INDEX(Ref_AccountRules,$L521,4))</f>
        <v/>
      </c>
      <c r="K521" s="1" t="str">
        <f>IF($L521="","",INDEX(Ref_AccountRules,$L521,5))</f>
        <v/>
      </c>
      <c r="L521" s="1" t="str">
        <f t="shared" si="31"/>
        <v/>
      </c>
    </row>
    <row r="522" spans="2:12" x14ac:dyDescent="0.35">
      <c r="B522" s="12"/>
      <c r="C522" s="11"/>
      <c r="D522" s="11"/>
      <c r="E522" s="11"/>
      <c r="F522" s="1" t="str">
        <f t="shared" si="28"/>
        <v/>
      </c>
      <c r="G522" s="1" t="str">
        <f t="shared" si="29"/>
        <v/>
      </c>
      <c r="H522" s="1" t="str">
        <f t="shared" si="30"/>
        <v/>
      </c>
      <c r="I522" s="1" t="str">
        <f>IF($L522="","",INDEX(Ref_AccountRules,$L522,3))</f>
        <v/>
      </c>
      <c r="J522" s="1" t="str">
        <f>IF($L522="","",INDEX(Ref_AccountRules,$L522,4))</f>
        <v/>
      </c>
      <c r="K522" s="1" t="str">
        <f>IF($L522="","",INDEX(Ref_AccountRules,$L522,5))</f>
        <v/>
      </c>
      <c r="L522" s="1" t="str">
        <f t="shared" si="31"/>
        <v/>
      </c>
    </row>
    <row r="523" spans="2:12" x14ac:dyDescent="0.35">
      <c r="B523" s="12"/>
      <c r="C523" s="11"/>
      <c r="D523" s="11"/>
      <c r="E523" s="11"/>
      <c r="F523" s="1" t="str">
        <f t="shared" ref="F523:F586" si="32">IF($B523="","",E523-D523)</f>
        <v/>
      </c>
      <c r="G523" s="1" t="str">
        <f t="shared" ref="G523:G586" si="33">IF($B523="","",IF(D523=0,0,(E523-D523)/ABS(D523)*100))</f>
        <v/>
      </c>
      <c r="H523" s="1" t="str">
        <f t="shared" ref="H523:H586" si="34">IF($B523="","",IF(LEFT($B523,6)="606880","emballages",IF(LEFT($B523,4)="6068","emballages",IF(LEFT($B523,3)="606","energie_dechets",IF(LEFT($B523,3)="164","tresorerie_financement",IF(LEFT($B523,2)="20","immobilisations",IF(LEFT($B523,2)="21","immobilisations",IF(LEFT($B523,2)="22","immobilisations",IF(LEFT($B523,2)="23","immobilisations",IF(LEFT($B523,2)="28","immobilisations",IF(LEFT($B523,2)="40","fournisseurs",IF(LEFT($B523,2)="41","clients",IF(LEFT($B523,2)="32","stocks",IF(LEFT($B523,2)="60","charges",IF(LEFT($B523,2)="61","services",IF(LEFT($B523,2)="62","personnel",IF(LEFT($B523,2)="63","fiscal",IF(LEFT($B523,2)="64","financier","autres"))))))))))))))))))</f>
        <v/>
      </c>
      <c r="I523" s="1" t="str">
        <f>IF($L523="","",INDEX(Ref_AccountRules,$L523,3))</f>
        <v/>
      </c>
      <c r="J523" s="1" t="str">
        <f>IF($L523="","",INDEX(Ref_AccountRules,$L523,4))</f>
        <v/>
      </c>
      <c r="K523" s="1" t="str">
        <f>IF($L523="","",INDEX(Ref_AccountRules,$L523,5))</f>
        <v/>
      </c>
      <c r="L523" s="1" t="str">
        <f t="shared" ref="L523:L586" si="35">IF($B523="","",IF(LEFT($B523,3)="215",1,IF(LEFT($B523,4)="2183",2,IF(LEFT($B523,3)="401",3,IF(LEFT($B523,3)="411",4,IF(LEFT($B523,3)="322",5,IF(LEFT($B523,4)="3220",6,IF(LEFT($B523,5)="32200",7,IF(LEFT($B523,3)="625",8,IF(LEFT($B523,3)="606",9,IF(LEFT($B523,3)="164",10,IF(LEFT($B523,6)="606880",11,""))))))))))))</f>
        <v/>
      </c>
    </row>
    <row r="524" spans="2:12" x14ac:dyDescent="0.35">
      <c r="B524" s="12"/>
      <c r="C524" s="11"/>
      <c r="D524" s="11"/>
      <c r="E524" s="11"/>
      <c r="F524" s="1" t="str">
        <f t="shared" si="32"/>
        <v/>
      </c>
      <c r="G524" s="1" t="str">
        <f t="shared" si="33"/>
        <v/>
      </c>
      <c r="H524" s="1" t="str">
        <f t="shared" si="34"/>
        <v/>
      </c>
      <c r="I524" s="1" t="str">
        <f>IF($L524="","",INDEX(Ref_AccountRules,$L524,3))</f>
        <v/>
      </c>
      <c r="J524" s="1" t="str">
        <f>IF($L524="","",INDEX(Ref_AccountRules,$L524,4))</f>
        <v/>
      </c>
      <c r="K524" s="1" t="str">
        <f>IF($L524="","",INDEX(Ref_AccountRules,$L524,5))</f>
        <v/>
      </c>
      <c r="L524" s="1" t="str">
        <f t="shared" si="35"/>
        <v/>
      </c>
    </row>
    <row r="525" spans="2:12" x14ac:dyDescent="0.35">
      <c r="B525" s="12"/>
      <c r="C525" s="11"/>
      <c r="D525" s="11"/>
      <c r="E525" s="11"/>
      <c r="F525" s="1" t="str">
        <f t="shared" si="32"/>
        <v/>
      </c>
      <c r="G525" s="1" t="str">
        <f t="shared" si="33"/>
        <v/>
      </c>
      <c r="H525" s="1" t="str">
        <f t="shared" si="34"/>
        <v/>
      </c>
      <c r="I525" s="1" t="str">
        <f>IF($L525="","",INDEX(Ref_AccountRules,$L525,3))</f>
        <v/>
      </c>
      <c r="J525" s="1" t="str">
        <f>IF($L525="","",INDEX(Ref_AccountRules,$L525,4))</f>
        <v/>
      </c>
      <c r="K525" s="1" t="str">
        <f>IF($L525="","",INDEX(Ref_AccountRules,$L525,5))</f>
        <v/>
      </c>
      <c r="L525" s="1" t="str">
        <f t="shared" si="35"/>
        <v/>
      </c>
    </row>
    <row r="526" spans="2:12" x14ac:dyDescent="0.35">
      <c r="B526" s="12"/>
      <c r="C526" s="11"/>
      <c r="D526" s="11"/>
      <c r="E526" s="11"/>
      <c r="F526" s="1" t="str">
        <f t="shared" si="32"/>
        <v/>
      </c>
      <c r="G526" s="1" t="str">
        <f t="shared" si="33"/>
        <v/>
      </c>
      <c r="H526" s="1" t="str">
        <f t="shared" si="34"/>
        <v/>
      </c>
      <c r="I526" s="1" t="str">
        <f>IF($L526="","",INDEX(Ref_AccountRules,$L526,3))</f>
        <v/>
      </c>
      <c r="J526" s="1" t="str">
        <f>IF($L526="","",INDEX(Ref_AccountRules,$L526,4))</f>
        <v/>
      </c>
      <c r="K526" s="1" t="str">
        <f>IF($L526="","",INDEX(Ref_AccountRules,$L526,5))</f>
        <v/>
      </c>
      <c r="L526" s="1" t="str">
        <f t="shared" si="35"/>
        <v/>
      </c>
    </row>
    <row r="527" spans="2:12" x14ac:dyDescent="0.35">
      <c r="B527" s="12"/>
      <c r="C527" s="11"/>
      <c r="D527" s="11"/>
      <c r="E527" s="11"/>
      <c r="F527" s="1" t="str">
        <f t="shared" si="32"/>
        <v/>
      </c>
      <c r="G527" s="1" t="str">
        <f t="shared" si="33"/>
        <v/>
      </c>
      <c r="H527" s="1" t="str">
        <f t="shared" si="34"/>
        <v/>
      </c>
      <c r="I527" s="1" t="str">
        <f>IF($L527="","",INDEX(Ref_AccountRules,$L527,3))</f>
        <v/>
      </c>
      <c r="J527" s="1" t="str">
        <f>IF($L527="","",INDEX(Ref_AccountRules,$L527,4))</f>
        <v/>
      </c>
      <c r="K527" s="1" t="str">
        <f>IF($L527="","",INDEX(Ref_AccountRules,$L527,5))</f>
        <v/>
      </c>
      <c r="L527" s="1" t="str">
        <f t="shared" si="35"/>
        <v/>
      </c>
    </row>
    <row r="528" spans="2:12" x14ac:dyDescent="0.35">
      <c r="B528" s="12"/>
      <c r="C528" s="11"/>
      <c r="D528" s="11"/>
      <c r="E528" s="11"/>
      <c r="F528" s="1" t="str">
        <f t="shared" si="32"/>
        <v/>
      </c>
      <c r="G528" s="1" t="str">
        <f t="shared" si="33"/>
        <v/>
      </c>
      <c r="H528" s="1" t="str">
        <f t="shared" si="34"/>
        <v/>
      </c>
      <c r="I528" s="1" t="str">
        <f>IF($L528="","",INDEX(Ref_AccountRules,$L528,3))</f>
        <v/>
      </c>
      <c r="J528" s="1" t="str">
        <f>IF($L528="","",INDEX(Ref_AccountRules,$L528,4))</f>
        <v/>
      </c>
      <c r="K528" s="1" t="str">
        <f>IF($L528="","",INDEX(Ref_AccountRules,$L528,5))</f>
        <v/>
      </c>
      <c r="L528" s="1" t="str">
        <f t="shared" si="35"/>
        <v/>
      </c>
    </row>
    <row r="529" spans="2:12" x14ac:dyDescent="0.35">
      <c r="B529" s="12"/>
      <c r="C529" s="11"/>
      <c r="D529" s="11"/>
      <c r="E529" s="11"/>
      <c r="F529" s="1" t="str">
        <f t="shared" si="32"/>
        <v/>
      </c>
      <c r="G529" s="1" t="str">
        <f t="shared" si="33"/>
        <v/>
      </c>
      <c r="H529" s="1" t="str">
        <f t="shared" si="34"/>
        <v/>
      </c>
      <c r="I529" s="1" t="str">
        <f>IF($L529="","",INDEX(Ref_AccountRules,$L529,3))</f>
        <v/>
      </c>
      <c r="J529" s="1" t="str">
        <f>IF($L529="","",INDEX(Ref_AccountRules,$L529,4))</f>
        <v/>
      </c>
      <c r="K529" s="1" t="str">
        <f>IF($L529="","",INDEX(Ref_AccountRules,$L529,5))</f>
        <v/>
      </c>
      <c r="L529" s="1" t="str">
        <f t="shared" si="35"/>
        <v/>
      </c>
    </row>
    <row r="530" spans="2:12" x14ac:dyDescent="0.35">
      <c r="B530" s="12"/>
      <c r="C530" s="11"/>
      <c r="D530" s="11"/>
      <c r="E530" s="11"/>
      <c r="F530" s="1" t="str">
        <f t="shared" si="32"/>
        <v/>
      </c>
      <c r="G530" s="1" t="str">
        <f t="shared" si="33"/>
        <v/>
      </c>
      <c r="H530" s="1" t="str">
        <f t="shared" si="34"/>
        <v/>
      </c>
      <c r="I530" s="1" t="str">
        <f>IF($L530="","",INDEX(Ref_AccountRules,$L530,3))</f>
        <v/>
      </c>
      <c r="J530" s="1" t="str">
        <f>IF($L530="","",INDEX(Ref_AccountRules,$L530,4))</f>
        <v/>
      </c>
      <c r="K530" s="1" t="str">
        <f>IF($L530="","",INDEX(Ref_AccountRules,$L530,5))</f>
        <v/>
      </c>
      <c r="L530" s="1" t="str">
        <f t="shared" si="35"/>
        <v/>
      </c>
    </row>
    <row r="531" spans="2:12" x14ac:dyDescent="0.35">
      <c r="B531" s="12"/>
      <c r="C531" s="11"/>
      <c r="D531" s="11"/>
      <c r="E531" s="11"/>
      <c r="F531" s="1" t="str">
        <f t="shared" si="32"/>
        <v/>
      </c>
      <c r="G531" s="1" t="str">
        <f t="shared" si="33"/>
        <v/>
      </c>
      <c r="H531" s="1" t="str">
        <f t="shared" si="34"/>
        <v/>
      </c>
      <c r="I531" s="1" t="str">
        <f>IF($L531="","",INDEX(Ref_AccountRules,$L531,3))</f>
        <v/>
      </c>
      <c r="J531" s="1" t="str">
        <f>IF($L531="","",INDEX(Ref_AccountRules,$L531,4))</f>
        <v/>
      </c>
      <c r="K531" s="1" t="str">
        <f>IF($L531="","",INDEX(Ref_AccountRules,$L531,5))</f>
        <v/>
      </c>
      <c r="L531" s="1" t="str">
        <f t="shared" si="35"/>
        <v/>
      </c>
    </row>
    <row r="532" spans="2:12" x14ac:dyDescent="0.35">
      <c r="B532" s="12"/>
      <c r="C532" s="11"/>
      <c r="D532" s="11"/>
      <c r="E532" s="11"/>
      <c r="F532" s="1" t="str">
        <f t="shared" si="32"/>
        <v/>
      </c>
      <c r="G532" s="1" t="str">
        <f t="shared" si="33"/>
        <v/>
      </c>
      <c r="H532" s="1" t="str">
        <f t="shared" si="34"/>
        <v/>
      </c>
      <c r="I532" s="1" t="str">
        <f>IF($L532="","",INDEX(Ref_AccountRules,$L532,3))</f>
        <v/>
      </c>
      <c r="J532" s="1" t="str">
        <f>IF($L532="","",INDEX(Ref_AccountRules,$L532,4))</f>
        <v/>
      </c>
      <c r="K532" s="1" t="str">
        <f>IF($L532="","",INDEX(Ref_AccountRules,$L532,5))</f>
        <v/>
      </c>
      <c r="L532" s="1" t="str">
        <f t="shared" si="35"/>
        <v/>
      </c>
    </row>
    <row r="533" spans="2:12" x14ac:dyDescent="0.35">
      <c r="B533" s="12"/>
      <c r="C533" s="11"/>
      <c r="D533" s="11"/>
      <c r="E533" s="11"/>
      <c r="F533" s="1" t="str">
        <f t="shared" si="32"/>
        <v/>
      </c>
      <c r="G533" s="1" t="str">
        <f t="shared" si="33"/>
        <v/>
      </c>
      <c r="H533" s="1" t="str">
        <f t="shared" si="34"/>
        <v/>
      </c>
      <c r="I533" s="1" t="str">
        <f>IF($L533="","",INDEX(Ref_AccountRules,$L533,3))</f>
        <v/>
      </c>
      <c r="J533" s="1" t="str">
        <f>IF($L533="","",INDEX(Ref_AccountRules,$L533,4))</f>
        <v/>
      </c>
      <c r="K533" s="1" t="str">
        <f>IF($L533="","",INDEX(Ref_AccountRules,$L533,5))</f>
        <v/>
      </c>
      <c r="L533" s="1" t="str">
        <f t="shared" si="35"/>
        <v/>
      </c>
    </row>
    <row r="534" spans="2:12" x14ac:dyDescent="0.35">
      <c r="B534" s="12"/>
      <c r="C534" s="11"/>
      <c r="D534" s="11"/>
      <c r="E534" s="11"/>
      <c r="F534" s="1" t="str">
        <f t="shared" si="32"/>
        <v/>
      </c>
      <c r="G534" s="1" t="str">
        <f t="shared" si="33"/>
        <v/>
      </c>
      <c r="H534" s="1" t="str">
        <f t="shared" si="34"/>
        <v/>
      </c>
      <c r="I534" s="1" t="str">
        <f>IF($L534="","",INDEX(Ref_AccountRules,$L534,3))</f>
        <v/>
      </c>
      <c r="J534" s="1" t="str">
        <f>IF($L534="","",INDEX(Ref_AccountRules,$L534,4))</f>
        <v/>
      </c>
      <c r="K534" s="1" t="str">
        <f>IF($L534="","",INDEX(Ref_AccountRules,$L534,5))</f>
        <v/>
      </c>
      <c r="L534" s="1" t="str">
        <f t="shared" si="35"/>
        <v/>
      </c>
    </row>
    <row r="535" spans="2:12" x14ac:dyDescent="0.35">
      <c r="B535" s="12"/>
      <c r="C535" s="11"/>
      <c r="D535" s="11"/>
      <c r="E535" s="11"/>
      <c r="F535" s="1" t="str">
        <f t="shared" si="32"/>
        <v/>
      </c>
      <c r="G535" s="1" t="str">
        <f t="shared" si="33"/>
        <v/>
      </c>
      <c r="H535" s="1" t="str">
        <f t="shared" si="34"/>
        <v/>
      </c>
      <c r="I535" s="1" t="str">
        <f>IF($L535="","",INDEX(Ref_AccountRules,$L535,3))</f>
        <v/>
      </c>
      <c r="J535" s="1" t="str">
        <f>IF($L535="","",INDEX(Ref_AccountRules,$L535,4))</f>
        <v/>
      </c>
      <c r="K535" s="1" t="str">
        <f>IF($L535="","",INDEX(Ref_AccountRules,$L535,5))</f>
        <v/>
      </c>
      <c r="L535" s="1" t="str">
        <f t="shared" si="35"/>
        <v/>
      </c>
    </row>
    <row r="536" spans="2:12" x14ac:dyDescent="0.35">
      <c r="B536" s="12"/>
      <c r="C536" s="11"/>
      <c r="D536" s="11"/>
      <c r="E536" s="11"/>
      <c r="F536" s="1" t="str">
        <f t="shared" si="32"/>
        <v/>
      </c>
      <c r="G536" s="1" t="str">
        <f t="shared" si="33"/>
        <v/>
      </c>
      <c r="H536" s="1" t="str">
        <f t="shared" si="34"/>
        <v/>
      </c>
      <c r="I536" s="1" t="str">
        <f>IF($L536="","",INDEX(Ref_AccountRules,$L536,3))</f>
        <v/>
      </c>
      <c r="J536" s="1" t="str">
        <f>IF($L536="","",INDEX(Ref_AccountRules,$L536,4))</f>
        <v/>
      </c>
      <c r="K536" s="1" t="str">
        <f>IF($L536="","",INDEX(Ref_AccountRules,$L536,5))</f>
        <v/>
      </c>
      <c r="L536" s="1" t="str">
        <f t="shared" si="35"/>
        <v/>
      </c>
    </row>
    <row r="537" spans="2:12" x14ac:dyDescent="0.35">
      <c r="B537" s="12"/>
      <c r="C537" s="11"/>
      <c r="D537" s="11"/>
      <c r="E537" s="11"/>
      <c r="F537" s="1" t="str">
        <f t="shared" si="32"/>
        <v/>
      </c>
      <c r="G537" s="1" t="str">
        <f t="shared" si="33"/>
        <v/>
      </c>
      <c r="H537" s="1" t="str">
        <f t="shared" si="34"/>
        <v/>
      </c>
      <c r="I537" s="1" t="str">
        <f>IF($L537="","",INDEX(Ref_AccountRules,$L537,3))</f>
        <v/>
      </c>
      <c r="J537" s="1" t="str">
        <f>IF($L537="","",INDEX(Ref_AccountRules,$L537,4))</f>
        <v/>
      </c>
      <c r="K537" s="1" t="str">
        <f>IF($L537="","",INDEX(Ref_AccountRules,$L537,5))</f>
        <v/>
      </c>
      <c r="L537" s="1" t="str">
        <f t="shared" si="35"/>
        <v/>
      </c>
    </row>
    <row r="538" spans="2:12" x14ac:dyDescent="0.35">
      <c r="B538" s="12"/>
      <c r="C538" s="11"/>
      <c r="D538" s="11"/>
      <c r="E538" s="11"/>
      <c r="F538" s="1" t="str">
        <f t="shared" si="32"/>
        <v/>
      </c>
      <c r="G538" s="1" t="str">
        <f t="shared" si="33"/>
        <v/>
      </c>
      <c r="H538" s="1" t="str">
        <f t="shared" si="34"/>
        <v/>
      </c>
      <c r="I538" s="1" t="str">
        <f>IF($L538="","",INDEX(Ref_AccountRules,$L538,3))</f>
        <v/>
      </c>
      <c r="J538" s="1" t="str">
        <f>IF($L538="","",INDEX(Ref_AccountRules,$L538,4))</f>
        <v/>
      </c>
      <c r="K538" s="1" t="str">
        <f>IF($L538="","",INDEX(Ref_AccountRules,$L538,5))</f>
        <v/>
      </c>
      <c r="L538" s="1" t="str">
        <f t="shared" si="35"/>
        <v/>
      </c>
    </row>
    <row r="539" spans="2:12" x14ac:dyDescent="0.35">
      <c r="B539" s="12"/>
      <c r="C539" s="11"/>
      <c r="D539" s="11"/>
      <c r="E539" s="11"/>
      <c r="F539" s="1" t="str">
        <f t="shared" si="32"/>
        <v/>
      </c>
      <c r="G539" s="1" t="str">
        <f t="shared" si="33"/>
        <v/>
      </c>
      <c r="H539" s="1" t="str">
        <f t="shared" si="34"/>
        <v/>
      </c>
      <c r="I539" s="1" t="str">
        <f>IF($L539="","",INDEX(Ref_AccountRules,$L539,3))</f>
        <v/>
      </c>
      <c r="J539" s="1" t="str">
        <f>IF($L539="","",INDEX(Ref_AccountRules,$L539,4))</f>
        <v/>
      </c>
      <c r="K539" s="1" t="str">
        <f>IF($L539="","",INDEX(Ref_AccountRules,$L539,5))</f>
        <v/>
      </c>
      <c r="L539" s="1" t="str">
        <f t="shared" si="35"/>
        <v/>
      </c>
    </row>
    <row r="540" spans="2:12" x14ac:dyDescent="0.35">
      <c r="B540" s="12"/>
      <c r="C540" s="11"/>
      <c r="D540" s="11"/>
      <c r="E540" s="11"/>
      <c r="F540" s="1" t="str">
        <f t="shared" si="32"/>
        <v/>
      </c>
      <c r="G540" s="1" t="str">
        <f t="shared" si="33"/>
        <v/>
      </c>
      <c r="H540" s="1" t="str">
        <f t="shared" si="34"/>
        <v/>
      </c>
      <c r="I540" s="1" t="str">
        <f>IF($L540="","",INDEX(Ref_AccountRules,$L540,3))</f>
        <v/>
      </c>
      <c r="J540" s="1" t="str">
        <f>IF($L540="","",INDEX(Ref_AccountRules,$L540,4))</f>
        <v/>
      </c>
      <c r="K540" s="1" t="str">
        <f>IF($L540="","",INDEX(Ref_AccountRules,$L540,5))</f>
        <v/>
      </c>
      <c r="L540" s="1" t="str">
        <f t="shared" si="35"/>
        <v/>
      </c>
    </row>
    <row r="541" spans="2:12" x14ac:dyDescent="0.35">
      <c r="B541" s="12"/>
      <c r="C541" s="11"/>
      <c r="D541" s="11"/>
      <c r="E541" s="11"/>
      <c r="F541" s="1" t="str">
        <f t="shared" si="32"/>
        <v/>
      </c>
      <c r="G541" s="1" t="str">
        <f t="shared" si="33"/>
        <v/>
      </c>
      <c r="H541" s="1" t="str">
        <f t="shared" si="34"/>
        <v/>
      </c>
      <c r="I541" s="1" t="str">
        <f>IF($L541="","",INDEX(Ref_AccountRules,$L541,3))</f>
        <v/>
      </c>
      <c r="J541" s="1" t="str">
        <f>IF($L541="","",INDEX(Ref_AccountRules,$L541,4))</f>
        <v/>
      </c>
      <c r="K541" s="1" t="str">
        <f>IF($L541="","",INDEX(Ref_AccountRules,$L541,5))</f>
        <v/>
      </c>
      <c r="L541" s="1" t="str">
        <f t="shared" si="35"/>
        <v/>
      </c>
    </row>
    <row r="542" spans="2:12" x14ac:dyDescent="0.35">
      <c r="B542" s="12"/>
      <c r="C542" s="11"/>
      <c r="D542" s="11"/>
      <c r="E542" s="11"/>
      <c r="F542" s="1" t="str">
        <f t="shared" si="32"/>
        <v/>
      </c>
      <c r="G542" s="1" t="str">
        <f t="shared" si="33"/>
        <v/>
      </c>
      <c r="H542" s="1" t="str">
        <f t="shared" si="34"/>
        <v/>
      </c>
      <c r="I542" s="1" t="str">
        <f>IF($L542="","",INDEX(Ref_AccountRules,$L542,3))</f>
        <v/>
      </c>
      <c r="J542" s="1" t="str">
        <f>IF($L542="","",INDEX(Ref_AccountRules,$L542,4))</f>
        <v/>
      </c>
      <c r="K542" s="1" t="str">
        <f>IF($L542="","",INDEX(Ref_AccountRules,$L542,5))</f>
        <v/>
      </c>
      <c r="L542" s="1" t="str">
        <f t="shared" si="35"/>
        <v/>
      </c>
    </row>
    <row r="543" spans="2:12" x14ac:dyDescent="0.35">
      <c r="B543" s="12"/>
      <c r="C543" s="11"/>
      <c r="D543" s="11"/>
      <c r="E543" s="11"/>
      <c r="F543" s="1" t="str">
        <f t="shared" si="32"/>
        <v/>
      </c>
      <c r="G543" s="1" t="str">
        <f t="shared" si="33"/>
        <v/>
      </c>
      <c r="H543" s="1" t="str">
        <f t="shared" si="34"/>
        <v/>
      </c>
      <c r="I543" s="1" t="str">
        <f>IF($L543="","",INDEX(Ref_AccountRules,$L543,3))</f>
        <v/>
      </c>
      <c r="J543" s="1" t="str">
        <f>IF($L543="","",INDEX(Ref_AccountRules,$L543,4))</f>
        <v/>
      </c>
      <c r="K543" s="1" t="str">
        <f>IF($L543="","",INDEX(Ref_AccountRules,$L543,5))</f>
        <v/>
      </c>
      <c r="L543" s="1" t="str">
        <f t="shared" si="35"/>
        <v/>
      </c>
    </row>
    <row r="544" spans="2:12" x14ac:dyDescent="0.35">
      <c r="B544" s="12"/>
      <c r="C544" s="11"/>
      <c r="D544" s="11"/>
      <c r="E544" s="11"/>
      <c r="F544" s="1" t="str">
        <f t="shared" si="32"/>
        <v/>
      </c>
      <c r="G544" s="1" t="str">
        <f t="shared" si="33"/>
        <v/>
      </c>
      <c r="H544" s="1" t="str">
        <f t="shared" si="34"/>
        <v/>
      </c>
      <c r="I544" s="1" t="str">
        <f>IF($L544="","",INDEX(Ref_AccountRules,$L544,3))</f>
        <v/>
      </c>
      <c r="J544" s="1" t="str">
        <f>IF($L544="","",INDEX(Ref_AccountRules,$L544,4))</f>
        <v/>
      </c>
      <c r="K544" s="1" t="str">
        <f>IF($L544="","",INDEX(Ref_AccountRules,$L544,5))</f>
        <v/>
      </c>
      <c r="L544" s="1" t="str">
        <f t="shared" si="35"/>
        <v/>
      </c>
    </row>
    <row r="545" spans="2:12" x14ac:dyDescent="0.35">
      <c r="B545" s="12"/>
      <c r="C545" s="11"/>
      <c r="D545" s="11"/>
      <c r="E545" s="11"/>
      <c r="F545" s="1" t="str">
        <f t="shared" si="32"/>
        <v/>
      </c>
      <c r="G545" s="1" t="str">
        <f t="shared" si="33"/>
        <v/>
      </c>
      <c r="H545" s="1" t="str">
        <f t="shared" si="34"/>
        <v/>
      </c>
      <c r="I545" s="1" t="str">
        <f>IF($L545="","",INDEX(Ref_AccountRules,$L545,3))</f>
        <v/>
      </c>
      <c r="J545" s="1" t="str">
        <f>IF($L545="","",INDEX(Ref_AccountRules,$L545,4))</f>
        <v/>
      </c>
      <c r="K545" s="1" t="str">
        <f>IF($L545="","",INDEX(Ref_AccountRules,$L545,5))</f>
        <v/>
      </c>
      <c r="L545" s="1" t="str">
        <f t="shared" si="35"/>
        <v/>
      </c>
    </row>
    <row r="546" spans="2:12" x14ac:dyDescent="0.35">
      <c r="B546" s="12"/>
      <c r="C546" s="11"/>
      <c r="D546" s="11"/>
      <c r="E546" s="11"/>
      <c r="F546" s="1" t="str">
        <f t="shared" si="32"/>
        <v/>
      </c>
      <c r="G546" s="1" t="str">
        <f t="shared" si="33"/>
        <v/>
      </c>
      <c r="H546" s="1" t="str">
        <f t="shared" si="34"/>
        <v/>
      </c>
      <c r="I546" s="1" t="str">
        <f>IF($L546="","",INDEX(Ref_AccountRules,$L546,3))</f>
        <v/>
      </c>
      <c r="J546" s="1" t="str">
        <f>IF($L546="","",INDEX(Ref_AccountRules,$L546,4))</f>
        <v/>
      </c>
      <c r="K546" s="1" t="str">
        <f>IF($L546="","",INDEX(Ref_AccountRules,$L546,5))</f>
        <v/>
      </c>
      <c r="L546" s="1" t="str">
        <f t="shared" si="35"/>
        <v/>
      </c>
    </row>
    <row r="547" spans="2:12" x14ac:dyDescent="0.35">
      <c r="B547" s="12"/>
      <c r="C547" s="11"/>
      <c r="D547" s="11"/>
      <c r="E547" s="11"/>
      <c r="F547" s="1" t="str">
        <f t="shared" si="32"/>
        <v/>
      </c>
      <c r="G547" s="1" t="str">
        <f t="shared" si="33"/>
        <v/>
      </c>
      <c r="H547" s="1" t="str">
        <f t="shared" si="34"/>
        <v/>
      </c>
      <c r="I547" s="1" t="str">
        <f>IF($L547="","",INDEX(Ref_AccountRules,$L547,3))</f>
        <v/>
      </c>
      <c r="J547" s="1" t="str">
        <f>IF($L547="","",INDEX(Ref_AccountRules,$L547,4))</f>
        <v/>
      </c>
      <c r="K547" s="1" t="str">
        <f>IF($L547="","",INDEX(Ref_AccountRules,$L547,5))</f>
        <v/>
      </c>
      <c r="L547" s="1" t="str">
        <f t="shared" si="35"/>
        <v/>
      </c>
    </row>
    <row r="548" spans="2:12" x14ac:dyDescent="0.35">
      <c r="B548" s="12"/>
      <c r="C548" s="11"/>
      <c r="D548" s="11"/>
      <c r="E548" s="11"/>
      <c r="F548" s="1" t="str">
        <f t="shared" si="32"/>
        <v/>
      </c>
      <c r="G548" s="1" t="str">
        <f t="shared" si="33"/>
        <v/>
      </c>
      <c r="H548" s="1" t="str">
        <f t="shared" si="34"/>
        <v/>
      </c>
      <c r="I548" s="1" t="str">
        <f>IF($L548="","",INDEX(Ref_AccountRules,$L548,3))</f>
        <v/>
      </c>
      <c r="J548" s="1" t="str">
        <f>IF($L548="","",INDEX(Ref_AccountRules,$L548,4))</f>
        <v/>
      </c>
      <c r="K548" s="1" t="str">
        <f>IF($L548="","",INDEX(Ref_AccountRules,$L548,5))</f>
        <v/>
      </c>
      <c r="L548" s="1" t="str">
        <f t="shared" si="35"/>
        <v/>
      </c>
    </row>
    <row r="549" spans="2:12" x14ac:dyDescent="0.35">
      <c r="B549" s="12"/>
      <c r="C549" s="11"/>
      <c r="D549" s="11"/>
      <c r="E549" s="11"/>
      <c r="F549" s="1" t="str">
        <f t="shared" si="32"/>
        <v/>
      </c>
      <c r="G549" s="1" t="str">
        <f t="shared" si="33"/>
        <v/>
      </c>
      <c r="H549" s="1" t="str">
        <f t="shared" si="34"/>
        <v/>
      </c>
      <c r="I549" s="1" t="str">
        <f>IF($L549="","",INDEX(Ref_AccountRules,$L549,3))</f>
        <v/>
      </c>
      <c r="J549" s="1" t="str">
        <f>IF($L549="","",INDEX(Ref_AccountRules,$L549,4))</f>
        <v/>
      </c>
      <c r="K549" s="1" t="str">
        <f>IF($L549="","",INDEX(Ref_AccountRules,$L549,5))</f>
        <v/>
      </c>
      <c r="L549" s="1" t="str">
        <f t="shared" si="35"/>
        <v/>
      </c>
    </row>
    <row r="550" spans="2:12" x14ac:dyDescent="0.35">
      <c r="B550" s="12"/>
      <c r="C550" s="11"/>
      <c r="D550" s="11"/>
      <c r="E550" s="11"/>
      <c r="F550" s="1" t="str">
        <f t="shared" si="32"/>
        <v/>
      </c>
      <c r="G550" s="1" t="str">
        <f t="shared" si="33"/>
        <v/>
      </c>
      <c r="H550" s="1" t="str">
        <f t="shared" si="34"/>
        <v/>
      </c>
      <c r="I550" s="1" t="str">
        <f>IF($L550="","",INDEX(Ref_AccountRules,$L550,3))</f>
        <v/>
      </c>
      <c r="J550" s="1" t="str">
        <f>IF($L550="","",INDEX(Ref_AccountRules,$L550,4))</f>
        <v/>
      </c>
      <c r="K550" s="1" t="str">
        <f>IF($L550="","",INDEX(Ref_AccountRules,$L550,5))</f>
        <v/>
      </c>
      <c r="L550" s="1" t="str">
        <f t="shared" si="35"/>
        <v/>
      </c>
    </row>
    <row r="551" spans="2:12" x14ac:dyDescent="0.35">
      <c r="B551" s="12"/>
      <c r="C551" s="11"/>
      <c r="D551" s="11"/>
      <c r="E551" s="11"/>
      <c r="F551" s="1" t="str">
        <f t="shared" si="32"/>
        <v/>
      </c>
      <c r="G551" s="1" t="str">
        <f t="shared" si="33"/>
        <v/>
      </c>
      <c r="H551" s="1" t="str">
        <f t="shared" si="34"/>
        <v/>
      </c>
      <c r="I551" s="1" t="str">
        <f>IF($L551="","",INDEX(Ref_AccountRules,$L551,3))</f>
        <v/>
      </c>
      <c r="J551" s="1" t="str">
        <f>IF($L551="","",INDEX(Ref_AccountRules,$L551,4))</f>
        <v/>
      </c>
      <c r="K551" s="1" t="str">
        <f>IF($L551="","",INDEX(Ref_AccountRules,$L551,5))</f>
        <v/>
      </c>
      <c r="L551" s="1" t="str">
        <f t="shared" si="35"/>
        <v/>
      </c>
    </row>
    <row r="552" spans="2:12" x14ac:dyDescent="0.35">
      <c r="B552" s="12"/>
      <c r="C552" s="11"/>
      <c r="D552" s="11"/>
      <c r="E552" s="11"/>
      <c r="F552" s="1" t="str">
        <f t="shared" si="32"/>
        <v/>
      </c>
      <c r="G552" s="1" t="str">
        <f t="shared" si="33"/>
        <v/>
      </c>
      <c r="H552" s="1" t="str">
        <f t="shared" si="34"/>
        <v/>
      </c>
      <c r="I552" s="1" t="str">
        <f>IF($L552="","",INDEX(Ref_AccountRules,$L552,3))</f>
        <v/>
      </c>
      <c r="J552" s="1" t="str">
        <f>IF($L552="","",INDEX(Ref_AccountRules,$L552,4))</f>
        <v/>
      </c>
      <c r="K552" s="1" t="str">
        <f>IF($L552="","",INDEX(Ref_AccountRules,$L552,5))</f>
        <v/>
      </c>
      <c r="L552" s="1" t="str">
        <f t="shared" si="35"/>
        <v/>
      </c>
    </row>
    <row r="553" spans="2:12" x14ac:dyDescent="0.35">
      <c r="B553" s="12"/>
      <c r="C553" s="11"/>
      <c r="D553" s="11"/>
      <c r="E553" s="11"/>
      <c r="F553" s="1" t="str">
        <f t="shared" si="32"/>
        <v/>
      </c>
      <c r="G553" s="1" t="str">
        <f t="shared" si="33"/>
        <v/>
      </c>
      <c r="H553" s="1" t="str">
        <f t="shared" si="34"/>
        <v/>
      </c>
      <c r="I553" s="1" t="str">
        <f>IF($L553="","",INDEX(Ref_AccountRules,$L553,3))</f>
        <v/>
      </c>
      <c r="J553" s="1" t="str">
        <f>IF($L553="","",INDEX(Ref_AccountRules,$L553,4))</f>
        <v/>
      </c>
      <c r="K553" s="1" t="str">
        <f>IF($L553="","",INDEX(Ref_AccountRules,$L553,5))</f>
        <v/>
      </c>
      <c r="L553" s="1" t="str">
        <f t="shared" si="35"/>
        <v/>
      </c>
    </row>
    <row r="554" spans="2:12" x14ac:dyDescent="0.35">
      <c r="B554" s="12"/>
      <c r="C554" s="11"/>
      <c r="D554" s="11"/>
      <c r="E554" s="11"/>
      <c r="F554" s="1" t="str">
        <f t="shared" si="32"/>
        <v/>
      </c>
      <c r="G554" s="1" t="str">
        <f t="shared" si="33"/>
        <v/>
      </c>
      <c r="H554" s="1" t="str">
        <f t="shared" si="34"/>
        <v/>
      </c>
      <c r="I554" s="1" t="str">
        <f>IF($L554="","",INDEX(Ref_AccountRules,$L554,3))</f>
        <v/>
      </c>
      <c r="J554" s="1" t="str">
        <f>IF($L554="","",INDEX(Ref_AccountRules,$L554,4))</f>
        <v/>
      </c>
      <c r="K554" s="1" t="str">
        <f>IF($L554="","",INDEX(Ref_AccountRules,$L554,5))</f>
        <v/>
      </c>
      <c r="L554" s="1" t="str">
        <f t="shared" si="35"/>
        <v/>
      </c>
    </row>
    <row r="555" spans="2:12" x14ac:dyDescent="0.35">
      <c r="B555" s="12"/>
      <c r="C555" s="11"/>
      <c r="D555" s="11"/>
      <c r="E555" s="11"/>
      <c r="F555" s="1" t="str">
        <f t="shared" si="32"/>
        <v/>
      </c>
      <c r="G555" s="1" t="str">
        <f t="shared" si="33"/>
        <v/>
      </c>
      <c r="H555" s="1" t="str">
        <f t="shared" si="34"/>
        <v/>
      </c>
      <c r="I555" s="1" t="str">
        <f>IF($L555="","",INDEX(Ref_AccountRules,$L555,3))</f>
        <v/>
      </c>
      <c r="J555" s="1" t="str">
        <f>IF($L555="","",INDEX(Ref_AccountRules,$L555,4))</f>
        <v/>
      </c>
      <c r="K555" s="1" t="str">
        <f>IF($L555="","",INDEX(Ref_AccountRules,$L555,5))</f>
        <v/>
      </c>
      <c r="L555" s="1" t="str">
        <f t="shared" si="35"/>
        <v/>
      </c>
    </row>
    <row r="556" spans="2:12" x14ac:dyDescent="0.35">
      <c r="B556" s="12"/>
      <c r="C556" s="11"/>
      <c r="D556" s="11"/>
      <c r="E556" s="11"/>
      <c r="F556" s="1" t="str">
        <f t="shared" si="32"/>
        <v/>
      </c>
      <c r="G556" s="1" t="str">
        <f t="shared" si="33"/>
        <v/>
      </c>
      <c r="H556" s="1" t="str">
        <f t="shared" si="34"/>
        <v/>
      </c>
      <c r="I556" s="1" t="str">
        <f>IF($L556="","",INDEX(Ref_AccountRules,$L556,3))</f>
        <v/>
      </c>
      <c r="J556" s="1" t="str">
        <f>IF($L556="","",INDEX(Ref_AccountRules,$L556,4))</f>
        <v/>
      </c>
      <c r="K556" s="1" t="str">
        <f>IF($L556="","",INDEX(Ref_AccountRules,$L556,5))</f>
        <v/>
      </c>
      <c r="L556" s="1" t="str">
        <f t="shared" si="35"/>
        <v/>
      </c>
    </row>
    <row r="557" spans="2:12" x14ac:dyDescent="0.35">
      <c r="B557" s="12"/>
      <c r="C557" s="11"/>
      <c r="D557" s="11"/>
      <c r="E557" s="11"/>
      <c r="F557" s="1" t="str">
        <f t="shared" si="32"/>
        <v/>
      </c>
      <c r="G557" s="1" t="str">
        <f t="shared" si="33"/>
        <v/>
      </c>
      <c r="H557" s="1" t="str">
        <f t="shared" si="34"/>
        <v/>
      </c>
      <c r="I557" s="1" t="str">
        <f>IF($L557="","",INDEX(Ref_AccountRules,$L557,3))</f>
        <v/>
      </c>
      <c r="J557" s="1" t="str">
        <f>IF($L557="","",INDEX(Ref_AccountRules,$L557,4))</f>
        <v/>
      </c>
      <c r="K557" s="1" t="str">
        <f>IF($L557="","",INDEX(Ref_AccountRules,$L557,5))</f>
        <v/>
      </c>
      <c r="L557" s="1" t="str">
        <f t="shared" si="35"/>
        <v/>
      </c>
    </row>
    <row r="558" spans="2:12" x14ac:dyDescent="0.35">
      <c r="B558" s="12"/>
      <c r="C558" s="11"/>
      <c r="D558" s="11"/>
      <c r="E558" s="11"/>
      <c r="F558" s="1" t="str">
        <f t="shared" si="32"/>
        <v/>
      </c>
      <c r="G558" s="1" t="str">
        <f t="shared" si="33"/>
        <v/>
      </c>
      <c r="H558" s="1" t="str">
        <f t="shared" si="34"/>
        <v/>
      </c>
      <c r="I558" s="1" t="str">
        <f>IF($L558="","",INDEX(Ref_AccountRules,$L558,3))</f>
        <v/>
      </c>
      <c r="J558" s="1" t="str">
        <f>IF($L558="","",INDEX(Ref_AccountRules,$L558,4))</f>
        <v/>
      </c>
      <c r="K558" s="1" t="str">
        <f>IF($L558="","",INDEX(Ref_AccountRules,$L558,5))</f>
        <v/>
      </c>
      <c r="L558" s="1" t="str">
        <f t="shared" si="35"/>
        <v/>
      </c>
    </row>
    <row r="559" spans="2:12" x14ac:dyDescent="0.35">
      <c r="B559" s="12"/>
      <c r="C559" s="11"/>
      <c r="D559" s="11"/>
      <c r="E559" s="11"/>
      <c r="F559" s="1" t="str">
        <f t="shared" si="32"/>
        <v/>
      </c>
      <c r="G559" s="1" t="str">
        <f t="shared" si="33"/>
        <v/>
      </c>
      <c r="H559" s="1" t="str">
        <f t="shared" si="34"/>
        <v/>
      </c>
      <c r="I559" s="1" t="str">
        <f>IF($L559="","",INDEX(Ref_AccountRules,$L559,3))</f>
        <v/>
      </c>
      <c r="J559" s="1" t="str">
        <f>IF($L559="","",INDEX(Ref_AccountRules,$L559,4))</f>
        <v/>
      </c>
      <c r="K559" s="1" t="str">
        <f>IF($L559="","",INDEX(Ref_AccountRules,$L559,5))</f>
        <v/>
      </c>
      <c r="L559" s="1" t="str">
        <f t="shared" si="35"/>
        <v/>
      </c>
    </row>
    <row r="560" spans="2:12" x14ac:dyDescent="0.35">
      <c r="B560" s="12"/>
      <c r="C560" s="11"/>
      <c r="D560" s="11"/>
      <c r="E560" s="11"/>
      <c r="F560" s="1" t="str">
        <f t="shared" si="32"/>
        <v/>
      </c>
      <c r="G560" s="1" t="str">
        <f t="shared" si="33"/>
        <v/>
      </c>
      <c r="H560" s="1" t="str">
        <f t="shared" si="34"/>
        <v/>
      </c>
      <c r="I560" s="1" t="str">
        <f>IF($L560="","",INDEX(Ref_AccountRules,$L560,3))</f>
        <v/>
      </c>
      <c r="J560" s="1" t="str">
        <f>IF($L560="","",INDEX(Ref_AccountRules,$L560,4))</f>
        <v/>
      </c>
      <c r="K560" s="1" t="str">
        <f>IF($L560="","",INDEX(Ref_AccountRules,$L560,5))</f>
        <v/>
      </c>
      <c r="L560" s="1" t="str">
        <f t="shared" si="35"/>
        <v/>
      </c>
    </row>
    <row r="561" spans="2:12" x14ac:dyDescent="0.35">
      <c r="B561" s="12"/>
      <c r="C561" s="11"/>
      <c r="D561" s="11"/>
      <c r="E561" s="11"/>
      <c r="F561" s="1" t="str">
        <f t="shared" si="32"/>
        <v/>
      </c>
      <c r="G561" s="1" t="str">
        <f t="shared" si="33"/>
        <v/>
      </c>
      <c r="H561" s="1" t="str">
        <f t="shared" si="34"/>
        <v/>
      </c>
      <c r="I561" s="1" t="str">
        <f>IF($L561="","",INDEX(Ref_AccountRules,$L561,3))</f>
        <v/>
      </c>
      <c r="J561" s="1" t="str">
        <f>IF($L561="","",INDEX(Ref_AccountRules,$L561,4))</f>
        <v/>
      </c>
      <c r="K561" s="1" t="str">
        <f>IF($L561="","",INDEX(Ref_AccountRules,$L561,5))</f>
        <v/>
      </c>
      <c r="L561" s="1" t="str">
        <f t="shared" si="35"/>
        <v/>
      </c>
    </row>
    <row r="562" spans="2:12" x14ac:dyDescent="0.35">
      <c r="B562" s="12"/>
      <c r="C562" s="11"/>
      <c r="D562" s="11"/>
      <c r="E562" s="11"/>
      <c r="F562" s="1" t="str">
        <f t="shared" si="32"/>
        <v/>
      </c>
      <c r="G562" s="1" t="str">
        <f t="shared" si="33"/>
        <v/>
      </c>
      <c r="H562" s="1" t="str">
        <f t="shared" si="34"/>
        <v/>
      </c>
      <c r="I562" s="1" t="str">
        <f>IF($L562="","",INDEX(Ref_AccountRules,$L562,3))</f>
        <v/>
      </c>
      <c r="J562" s="1" t="str">
        <f>IF($L562="","",INDEX(Ref_AccountRules,$L562,4))</f>
        <v/>
      </c>
      <c r="K562" s="1" t="str">
        <f>IF($L562="","",INDEX(Ref_AccountRules,$L562,5))</f>
        <v/>
      </c>
      <c r="L562" s="1" t="str">
        <f t="shared" si="35"/>
        <v/>
      </c>
    </row>
    <row r="563" spans="2:12" x14ac:dyDescent="0.35">
      <c r="B563" s="12"/>
      <c r="C563" s="11"/>
      <c r="D563" s="11"/>
      <c r="E563" s="11"/>
      <c r="F563" s="1" t="str">
        <f t="shared" si="32"/>
        <v/>
      </c>
      <c r="G563" s="1" t="str">
        <f t="shared" si="33"/>
        <v/>
      </c>
      <c r="H563" s="1" t="str">
        <f t="shared" si="34"/>
        <v/>
      </c>
      <c r="I563" s="1" t="str">
        <f>IF($L563="","",INDEX(Ref_AccountRules,$L563,3))</f>
        <v/>
      </c>
      <c r="J563" s="1" t="str">
        <f>IF($L563="","",INDEX(Ref_AccountRules,$L563,4))</f>
        <v/>
      </c>
      <c r="K563" s="1" t="str">
        <f>IF($L563="","",INDEX(Ref_AccountRules,$L563,5))</f>
        <v/>
      </c>
      <c r="L563" s="1" t="str">
        <f t="shared" si="35"/>
        <v/>
      </c>
    </row>
    <row r="564" spans="2:12" x14ac:dyDescent="0.35">
      <c r="B564" s="12"/>
      <c r="C564" s="11"/>
      <c r="D564" s="11"/>
      <c r="E564" s="11"/>
      <c r="F564" s="1" t="str">
        <f t="shared" si="32"/>
        <v/>
      </c>
      <c r="G564" s="1" t="str">
        <f t="shared" si="33"/>
        <v/>
      </c>
      <c r="H564" s="1" t="str">
        <f t="shared" si="34"/>
        <v/>
      </c>
      <c r="I564" s="1" t="str">
        <f>IF($L564="","",INDEX(Ref_AccountRules,$L564,3))</f>
        <v/>
      </c>
      <c r="J564" s="1" t="str">
        <f>IF($L564="","",INDEX(Ref_AccountRules,$L564,4))</f>
        <v/>
      </c>
      <c r="K564" s="1" t="str">
        <f>IF($L564="","",INDEX(Ref_AccountRules,$L564,5))</f>
        <v/>
      </c>
      <c r="L564" s="1" t="str">
        <f t="shared" si="35"/>
        <v/>
      </c>
    </row>
    <row r="565" spans="2:12" x14ac:dyDescent="0.35">
      <c r="B565" s="12"/>
      <c r="C565" s="11"/>
      <c r="D565" s="11"/>
      <c r="E565" s="11"/>
      <c r="F565" s="1" t="str">
        <f t="shared" si="32"/>
        <v/>
      </c>
      <c r="G565" s="1" t="str">
        <f t="shared" si="33"/>
        <v/>
      </c>
      <c r="H565" s="1" t="str">
        <f t="shared" si="34"/>
        <v/>
      </c>
      <c r="I565" s="1" t="str">
        <f>IF($L565="","",INDEX(Ref_AccountRules,$L565,3))</f>
        <v/>
      </c>
      <c r="J565" s="1" t="str">
        <f>IF($L565="","",INDEX(Ref_AccountRules,$L565,4))</f>
        <v/>
      </c>
      <c r="K565" s="1" t="str">
        <f>IF($L565="","",INDEX(Ref_AccountRules,$L565,5))</f>
        <v/>
      </c>
      <c r="L565" s="1" t="str">
        <f t="shared" si="35"/>
        <v/>
      </c>
    </row>
    <row r="566" spans="2:12" x14ac:dyDescent="0.35">
      <c r="B566" s="12"/>
      <c r="C566" s="11"/>
      <c r="D566" s="11"/>
      <c r="E566" s="11"/>
      <c r="F566" s="1" t="str">
        <f t="shared" si="32"/>
        <v/>
      </c>
      <c r="G566" s="1" t="str">
        <f t="shared" si="33"/>
        <v/>
      </c>
      <c r="H566" s="1" t="str">
        <f t="shared" si="34"/>
        <v/>
      </c>
      <c r="I566" s="1" t="str">
        <f>IF($L566="","",INDEX(Ref_AccountRules,$L566,3))</f>
        <v/>
      </c>
      <c r="J566" s="1" t="str">
        <f>IF($L566="","",INDEX(Ref_AccountRules,$L566,4))</f>
        <v/>
      </c>
      <c r="K566" s="1" t="str">
        <f>IF($L566="","",INDEX(Ref_AccountRules,$L566,5))</f>
        <v/>
      </c>
      <c r="L566" s="1" t="str">
        <f t="shared" si="35"/>
        <v/>
      </c>
    </row>
    <row r="567" spans="2:12" x14ac:dyDescent="0.35">
      <c r="B567" s="12"/>
      <c r="C567" s="11"/>
      <c r="D567" s="11"/>
      <c r="E567" s="11"/>
      <c r="F567" s="1" t="str">
        <f t="shared" si="32"/>
        <v/>
      </c>
      <c r="G567" s="1" t="str">
        <f t="shared" si="33"/>
        <v/>
      </c>
      <c r="H567" s="1" t="str">
        <f t="shared" si="34"/>
        <v/>
      </c>
      <c r="I567" s="1" t="str">
        <f>IF($L567="","",INDEX(Ref_AccountRules,$L567,3))</f>
        <v/>
      </c>
      <c r="J567" s="1" t="str">
        <f>IF($L567="","",INDEX(Ref_AccountRules,$L567,4))</f>
        <v/>
      </c>
      <c r="K567" s="1" t="str">
        <f>IF($L567="","",INDEX(Ref_AccountRules,$L567,5))</f>
        <v/>
      </c>
      <c r="L567" s="1" t="str">
        <f t="shared" si="35"/>
        <v/>
      </c>
    </row>
    <row r="568" spans="2:12" x14ac:dyDescent="0.35">
      <c r="B568" s="12"/>
      <c r="C568" s="11"/>
      <c r="D568" s="11"/>
      <c r="E568" s="11"/>
      <c r="F568" s="1" t="str">
        <f t="shared" si="32"/>
        <v/>
      </c>
      <c r="G568" s="1" t="str">
        <f t="shared" si="33"/>
        <v/>
      </c>
      <c r="H568" s="1" t="str">
        <f t="shared" si="34"/>
        <v/>
      </c>
      <c r="I568" s="1" t="str">
        <f>IF($L568="","",INDEX(Ref_AccountRules,$L568,3))</f>
        <v/>
      </c>
      <c r="J568" s="1" t="str">
        <f>IF($L568="","",INDEX(Ref_AccountRules,$L568,4))</f>
        <v/>
      </c>
      <c r="K568" s="1" t="str">
        <f>IF($L568="","",INDEX(Ref_AccountRules,$L568,5))</f>
        <v/>
      </c>
      <c r="L568" s="1" t="str">
        <f t="shared" si="35"/>
        <v/>
      </c>
    </row>
    <row r="569" spans="2:12" x14ac:dyDescent="0.35">
      <c r="B569" s="12"/>
      <c r="C569" s="11"/>
      <c r="D569" s="11"/>
      <c r="E569" s="11"/>
      <c r="F569" s="1" t="str">
        <f t="shared" si="32"/>
        <v/>
      </c>
      <c r="G569" s="1" t="str">
        <f t="shared" si="33"/>
        <v/>
      </c>
      <c r="H569" s="1" t="str">
        <f t="shared" si="34"/>
        <v/>
      </c>
      <c r="I569" s="1" t="str">
        <f>IF($L569="","",INDEX(Ref_AccountRules,$L569,3))</f>
        <v/>
      </c>
      <c r="J569" s="1" t="str">
        <f>IF($L569="","",INDEX(Ref_AccountRules,$L569,4))</f>
        <v/>
      </c>
      <c r="K569" s="1" t="str">
        <f>IF($L569="","",INDEX(Ref_AccountRules,$L569,5))</f>
        <v/>
      </c>
      <c r="L569" s="1" t="str">
        <f t="shared" si="35"/>
        <v/>
      </c>
    </row>
    <row r="570" spans="2:12" x14ac:dyDescent="0.35">
      <c r="B570" s="12"/>
      <c r="C570" s="11"/>
      <c r="D570" s="11"/>
      <c r="E570" s="11"/>
      <c r="F570" s="1" t="str">
        <f t="shared" si="32"/>
        <v/>
      </c>
      <c r="G570" s="1" t="str">
        <f t="shared" si="33"/>
        <v/>
      </c>
      <c r="H570" s="1" t="str">
        <f t="shared" si="34"/>
        <v/>
      </c>
      <c r="I570" s="1" t="str">
        <f>IF($L570="","",INDEX(Ref_AccountRules,$L570,3))</f>
        <v/>
      </c>
      <c r="J570" s="1" t="str">
        <f>IF($L570="","",INDEX(Ref_AccountRules,$L570,4))</f>
        <v/>
      </c>
      <c r="K570" s="1" t="str">
        <f>IF($L570="","",INDEX(Ref_AccountRules,$L570,5))</f>
        <v/>
      </c>
      <c r="L570" s="1" t="str">
        <f t="shared" si="35"/>
        <v/>
      </c>
    </row>
    <row r="571" spans="2:12" x14ac:dyDescent="0.35">
      <c r="B571" s="12"/>
      <c r="C571" s="11"/>
      <c r="D571" s="11"/>
      <c r="E571" s="11"/>
      <c r="F571" s="1" t="str">
        <f t="shared" si="32"/>
        <v/>
      </c>
      <c r="G571" s="1" t="str">
        <f t="shared" si="33"/>
        <v/>
      </c>
      <c r="H571" s="1" t="str">
        <f t="shared" si="34"/>
        <v/>
      </c>
      <c r="I571" s="1" t="str">
        <f>IF($L571="","",INDEX(Ref_AccountRules,$L571,3))</f>
        <v/>
      </c>
      <c r="J571" s="1" t="str">
        <f>IF($L571="","",INDEX(Ref_AccountRules,$L571,4))</f>
        <v/>
      </c>
      <c r="K571" s="1" t="str">
        <f>IF($L571="","",INDEX(Ref_AccountRules,$L571,5))</f>
        <v/>
      </c>
      <c r="L571" s="1" t="str">
        <f t="shared" si="35"/>
        <v/>
      </c>
    </row>
    <row r="572" spans="2:12" x14ac:dyDescent="0.35">
      <c r="B572" s="12"/>
      <c r="C572" s="11"/>
      <c r="D572" s="11"/>
      <c r="E572" s="11"/>
      <c r="F572" s="1" t="str">
        <f t="shared" si="32"/>
        <v/>
      </c>
      <c r="G572" s="1" t="str">
        <f t="shared" si="33"/>
        <v/>
      </c>
      <c r="H572" s="1" t="str">
        <f t="shared" si="34"/>
        <v/>
      </c>
      <c r="I572" s="1" t="str">
        <f>IF($L572="","",INDEX(Ref_AccountRules,$L572,3))</f>
        <v/>
      </c>
      <c r="J572" s="1" t="str">
        <f>IF($L572="","",INDEX(Ref_AccountRules,$L572,4))</f>
        <v/>
      </c>
      <c r="K572" s="1" t="str">
        <f>IF($L572="","",INDEX(Ref_AccountRules,$L572,5))</f>
        <v/>
      </c>
      <c r="L572" s="1" t="str">
        <f t="shared" si="35"/>
        <v/>
      </c>
    </row>
    <row r="573" spans="2:12" x14ac:dyDescent="0.35">
      <c r="B573" s="12"/>
      <c r="C573" s="11"/>
      <c r="D573" s="11"/>
      <c r="E573" s="11"/>
      <c r="F573" s="1" t="str">
        <f t="shared" si="32"/>
        <v/>
      </c>
      <c r="G573" s="1" t="str">
        <f t="shared" si="33"/>
        <v/>
      </c>
      <c r="H573" s="1" t="str">
        <f t="shared" si="34"/>
        <v/>
      </c>
      <c r="I573" s="1" t="str">
        <f>IF($L573="","",INDEX(Ref_AccountRules,$L573,3))</f>
        <v/>
      </c>
      <c r="J573" s="1" t="str">
        <f>IF($L573="","",INDEX(Ref_AccountRules,$L573,4))</f>
        <v/>
      </c>
      <c r="K573" s="1" t="str">
        <f>IF($L573="","",INDEX(Ref_AccountRules,$L573,5))</f>
        <v/>
      </c>
      <c r="L573" s="1" t="str">
        <f t="shared" si="35"/>
        <v/>
      </c>
    </row>
    <row r="574" spans="2:12" x14ac:dyDescent="0.35">
      <c r="B574" s="12"/>
      <c r="C574" s="11"/>
      <c r="D574" s="11"/>
      <c r="E574" s="11"/>
      <c r="F574" s="1" t="str">
        <f t="shared" si="32"/>
        <v/>
      </c>
      <c r="G574" s="1" t="str">
        <f t="shared" si="33"/>
        <v/>
      </c>
      <c r="H574" s="1" t="str">
        <f t="shared" si="34"/>
        <v/>
      </c>
      <c r="I574" s="1" t="str">
        <f>IF($L574="","",INDEX(Ref_AccountRules,$L574,3))</f>
        <v/>
      </c>
      <c r="J574" s="1" t="str">
        <f>IF($L574="","",INDEX(Ref_AccountRules,$L574,4))</f>
        <v/>
      </c>
      <c r="K574" s="1" t="str">
        <f>IF($L574="","",INDEX(Ref_AccountRules,$L574,5))</f>
        <v/>
      </c>
      <c r="L574" s="1" t="str">
        <f t="shared" si="35"/>
        <v/>
      </c>
    </row>
    <row r="575" spans="2:12" x14ac:dyDescent="0.35">
      <c r="B575" s="12"/>
      <c r="C575" s="11"/>
      <c r="D575" s="11"/>
      <c r="E575" s="11"/>
      <c r="F575" s="1" t="str">
        <f t="shared" si="32"/>
        <v/>
      </c>
      <c r="G575" s="1" t="str">
        <f t="shared" si="33"/>
        <v/>
      </c>
      <c r="H575" s="1" t="str">
        <f t="shared" si="34"/>
        <v/>
      </c>
      <c r="I575" s="1" t="str">
        <f>IF($L575="","",INDEX(Ref_AccountRules,$L575,3))</f>
        <v/>
      </c>
      <c r="J575" s="1" t="str">
        <f>IF($L575="","",INDEX(Ref_AccountRules,$L575,4))</f>
        <v/>
      </c>
      <c r="K575" s="1" t="str">
        <f>IF($L575="","",INDEX(Ref_AccountRules,$L575,5))</f>
        <v/>
      </c>
      <c r="L575" s="1" t="str">
        <f t="shared" si="35"/>
        <v/>
      </c>
    </row>
    <row r="576" spans="2:12" x14ac:dyDescent="0.35">
      <c r="B576" s="12"/>
      <c r="C576" s="11"/>
      <c r="D576" s="11"/>
      <c r="E576" s="11"/>
      <c r="F576" s="1" t="str">
        <f t="shared" si="32"/>
        <v/>
      </c>
      <c r="G576" s="1" t="str">
        <f t="shared" si="33"/>
        <v/>
      </c>
      <c r="H576" s="1" t="str">
        <f t="shared" si="34"/>
        <v/>
      </c>
      <c r="I576" s="1" t="str">
        <f>IF($L576="","",INDEX(Ref_AccountRules,$L576,3))</f>
        <v/>
      </c>
      <c r="J576" s="1" t="str">
        <f>IF($L576="","",INDEX(Ref_AccountRules,$L576,4))</f>
        <v/>
      </c>
      <c r="K576" s="1" t="str">
        <f>IF($L576="","",INDEX(Ref_AccountRules,$L576,5))</f>
        <v/>
      </c>
      <c r="L576" s="1" t="str">
        <f t="shared" si="35"/>
        <v/>
      </c>
    </row>
    <row r="577" spans="2:12" x14ac:dyDescent="0.35">
      <c r="B577" s="12"/>
      <c r="C577" s="11"/>
      <c r="D577" s="11"/>
      <c r="E577" s="11"/>
      <c r="F577" s="1" t="str">
        <f t="shared" si="32"/>
        <v/>
      </c>
      <c r="G577" s="1" t="str">
        <f t="shared" si="33"/>
        <v/>
      </c>
      <c r="H577" s="1" t="str">
        <f t="shared" si="34"/>
        <v/>
      </c>
      <c r="I577" s="1" t="str">
        <f>IF($L577="","",INDEX(Ref_AccountRules,$L577,3))</f>
        <v/>
      </c>
      <c r="J577" s="1" t="str">
        <f>IF($L577="","",INDEX(Ref_AccountRules,$L577,4))</f>
        <v/>
      </c>
      <c r="K577" s="1" t="str">
        <f>IF($L577="","",INDEX(Ref_AccountRules,$L577,5))</f>
        <v/>
      </c>
      <c r="L577" s="1" t="str">
        <f t="shared" si="35"/>
        <v/>
      </c>
    </row>
    <row r="578" spans="2:12" x14ac:dyDescent="0.35">
      <c r="B578" s="12"/>
      <c r="C578" s="11"/>
      <c r="D578" s="11"/>
      <c r="E578" s="11"/>
      <c r="F578" s="1" t="str">
        <f t="shared" si="32"/>
        <v/>
      </c>
      <c r="G578" s="1" t="str">
        <f t="shared" si="33"/>
        <v/>
      </c>
      <c r="H578" s="1" t="str">
        <f t="shared" si="34"/>
        <v/>
      </c>
      <c r="I578" s="1" t="str">
        <f>IF($L578="","",INDEX(Ref_AccountRules,$L578,3))</f>
        <v/>
      </c>
      <c r="J578" s="1" t="str">
        <f>IF($L578="","",INDEX(Ref_AccountRules,$L578,4))</f>
        <v/>
      </c>
      <c r="K578" s="1" t="str">
        <f>IF($L578="","",INDEX(Ref_AccountRules,$L578,5))</f>
        <v/>
      </c>
      <c r="L578" s="1" t="str">
        <f t="shared" si="35"/>
        <v/>
      </c>
    </row>
    <row r="579" spans="2:12" x14ac:dyDescent="0.35">
      <c r="B579" s="12"/>
      <c r="C579" s="11"/>
      <c r="D579" s="11"/>
      <c r="E579" s="11"/>
      <c r="F579" s="1" t="str">
        <f t="shared" si="32"/>
        <v/>
      </c>
      <c r="G579" s="1" t="str">
        <f t="shared" si="33"/>
        <v/>
      </c>
      <c r="H579" s="1" t="str">
        <f t="shared" si="34"/>
        <v/>
      </c>
      <c r="I579" s="1" t="str">
        <f>IF($L579="","",INDEX(Ref_AccountRules,$L579,3))</f>
        <v/>
      </c>
      <c r="J579" s="1" t="str">
        <f>IF($L579="","",INDEX(Ref_AccountRules,$L579,4))</f>
        <v/>
      </c>
      <c r="K579" s="1" t="str">
        <f>IF($L579="","",INDEX(Ref_AccountRules,$L579,5))</f>
        <v/>
      </c>
      <c r="L579" s="1" t="str">
        <f t="shared" si="35"/>
        <v/>
      </c>
    </row>
    <row r="580" spans="2:12" x14ac:dyDescent="0.35">
      <c r="B580" s="12"/>
      <c r="C580" s="11"/>
      <c r="D580" s="11"/>
      <c r="E580" s="11"/>
      <c r="F580" s="1" t="str">
        <f t="shared" si="32"/>
        <v/>
      </c>
      <c r="G580" s="1" t="str">
        <f t="shared" si="33"/>
        <v/>
      </c>
      <c r="H580" s="1" t="str">
        <f t="shared" si="34"/>
        <v/>
      </c>
      <c r="I580" s="1" t="str">
        <f>IF($L580="","",INDEX(Ref_AccountRules,$L580,3))</f>
        <v/>
      </c>
      <c r="J580" s="1" t="str">
        <f>IF($L580="","",INDEX(Ref_AccountRules,$L580,4))</f>
        <v/>
      </c>
      <c r="K580" s="1" t="str">
        <f>IF($L580="","",INDEX(Ref_AccountRules,$L580,5))</f>
        <v/>
      </c>
      <c r="L580" s="1" t="str">
        <f t="shared" si="35"/>
        <v/>
      </c>
    </row>
    <row r="581" spans="2:12" x14ac:dyDescent="0.35">
      <c r="B581" s="12"/>
      <c r="C581" s="11"/>
      <c r="D581" s="11"/>
      <c r="E581" s="11"/>
      <c r="F581" s="1" t="str">
        <f t="shared" si="32"/>
        <v/>
      </c>
      <c r="G581" s="1" t="str">
        <f t="shared" si="33"/>
        <v/>
      </c>
      <c r="H581" s="1" t="str">
        <f t="shared" si="34"/>
        <v/>
      </c>
      <c r="I581" s="1" t="str">
        <f>IF($L581="","",INDEX(Ref_AccountRules,$L581,3))</f>
        <v/>
      </c>
      <c r="J581" s="1" t="str">
        <f>IF($L581="","",INDEX(Ref_AccountRules,$L581,4))</f>
        <v/>
      </c>
      <c r="K581" s="1" t="str">
        <f>IF($L581="","",INDEX(Ref_AccountRules,$L581,5))</f>
        <v/>
      </c>
      <c r="L581" s="1" t="str">
        <f t="shared" si="35"/>
        <v/>
      </c>
    </row>
    <row r="582" spans="2:12" x14ac:dyDescent="0.35">
      <c r="B582" s="12"/>
      <c r="C582" s="11"/>
      <c r="D582" s="11"/>
      <c r="E582" s="11"/>
      <c r="F582" s="1" t="str">
        <f t="shared" si="32"/>
        <v/>
      </c>
      <c r="G582" s="1" t="str">
        <f t="shared" si="33"/>
        <v/>
      </c>
      <c r="H582" s="1" t="str">
        <f t="shared" si="34"/>
        <v/>
      </c>
      <c r="I582" s="1" t="str">
        <f>IF($L582="","",INDEX(Ref_AccountRules,$L582,3))</f>
        <v/>
      </c>
      <c r="J582" s="1" t="str">
        <f>IF($L582="","",INDEX(Ref_AccountRules,$L582,4))</f>
        <v/>
      </c>
      <c r="K582" s="1" t="str">
        <f>IF($L582="","",INDEX(Ref_AccountRules,$L582,5))</f>
        <v/>
      </c>
      <c r="L582" s="1" t="str">
        <f t="shared" si="35"/>
        <v/>
      </c>
    </row>
    <row r="583" spans="2:12" x14ac:dyDescent="0.35">
      <c r="B583" s="12"/>
      <c r="C583" s="11"/>
      <c r="D583" s="11"/>
      <c r="E583" s="11"/>
      <c r="F583" s="1" t="str">
        <f t="shared" si="32"/>
        <v/>
      </c>
      <c r="G583" s="1" t="str">
        <f t="shared" si="33"/>
        <v/>
      </c>
      <c r="H583" s="1" t="str">
        <f t="shared" si="34"/>
        <v/>
      </c>
      <c r="I583" s="1" t="str">
        <f>IF($L583="","",INDEX(Ref_AccountRules,$L583,3))</f>
        <v/>
      </c>
      <c r="J583" s="1" t="str">
        <f>IF($L583="","",INDEX(Ref_AccountRules,$L583,4))</f>
        <v/>
      </c>
      <c r="K583" s="1" t="str">
        <f>IF($L583="","",INDEX(Ref_AccountRules,$L583,5))</f>
        <v/>
      </c>
      <c r="L583" s="1" t="str">
        <f t="shared" si="35"/>
        <v/>
      </c>
    </row>
    <row r="584" spans="2:12" x14ac:dyDescent="0.35">
      <c r="B584" s="12"/>
      <c r="C584" s="11"/>
      <c r="D584" s="11"/>
      <c r="E584" s="11"/>
      <c r="F584" s="1" t="str">
        <f t="shared" si="32"/>
        <v/>
      </c>
      <c r="G584" s="1" t="str">
        <f t="shared" si="33"/>
        <v/>
      </c>
      <c r="H584" s="1" t="str">
        <f t="shared" si="34"/>
        <v/>
      </c>
      <c r="I584" s="1" t="str">
        <f>IF($L584="","",INDEX(Ref_AccountRules,$L584,3))</f>
        <v/>
      </c>
      <c r="J584" s="1" t="str">
        <f>IF($L584="","",INDEX(Ref_AccountRules,$L584,4))</f>
        <v/>
      </c>
      <c r="K584" s="1" t="str">
        <f>IF($L584="","",INDEX(Ref_AccountRules,$L584,5))</f>
        <v/>
      </c>
      <c r="L584" s="1" t="str">
        <f t="shared" si="35"/>
        <v/>
      </c>
    </row>
    <row r="585" spans="2:12" x14ac:dyDescent="0.35">
      <c r="B585" s="12"/>
      <c r="C585" s="11"/>
      <c r="D585" s="11"/>
      <c r="E585" s="11"/>
      <c r="F585" s="1" t="str">
        <f t="shared" si="32"/>
        <v/>
      </c>
      <c r="G585" s="1" t="str">
        <f t="shared" si="33"/>
        <v/>
      </c>
      <c r="H585" s="1" t="str">
        <f t="shared" si="34"/>
        <v/>
      </c>
      <c r="I585" s="1" t="str">
        <f>IF($L585="","",INDEX(Ref_AccountRules,$L585,3))</f>
        <v/>
      </c>
      <c r="J585" s="1" t="str">
        <f>IF($L585="","",INDEX(Ref_AccountRules,$L585,4))</f>
        <v/>
      </c>
      <c r="K585" s="1" t="str">
        <f>IF($L585="","",INDEX(Ref_AccountRules,$L585,5))</f>
        <v/>
      </c>
      <c r="L585" s="1" t="str">
        <f t="shared" si="35"/>
        <v/>
      </c>
    </row>
    <row r="586" spans="2:12" x14ac:dyDescent="0.35">
      <c r="B586" s="12"/>
      <c r="C586" s="11"/>
      <c r="D586" s="11"/>
      <c r="E586" s="11"/>
      <c r="F586" s="1" t="str">
        <f t="shared" si="32"/>
        <v/>
      </c>
      <c r="G586" s="1" t="str">
        <f t="shared" si="33"/>
        <v/>
      </c>
      <c r="H586" s="1" t="str">
        <f t="shared" si="34"/>
        <v/>
      </c>
      <c r="I586" s="1" t="str">
        <f>IF($L586="","",INDEX(Ref_AccountRules,$L586,3))</f>
        <v/>
      </c>
      <c r="J586" s="1" t="str">
        <f>IF($L586="","",INDEX(Ref_AccountRules,$L586,4))</f>
        <v/>
      </c>
      <c r="K586" s="1" t="str">
        <f>IF($L586="","",INDEX(Ref_AccountRules,$L586,5))</f>
        <v/>
      </c>
      <c r="L586" s="1" t="str">
        <f t="shared" si="35"/>
        <v/>
      </c>
    </row>
    <row r="587" spans="2:12" x14ac:dyDescent="0.35">
      <c r="B587" s="12"/>
      <c r="C587" s="11"/>
      <c r="D587" s="11"/>
      <c r="E587" s="11"/>
      <c r="F587" s="1" t="str">
        <f t="shared" ref="F587:F650" si="36">IF($B587="","",E587-D587)</f>
        <v/>
      </c>
      <c r="G587" s="1" t="str">
        <f t="shared" ref="G587:G650" si="37">IF($B587="","",IF(D587=0,0,(E587-D587)/ABS(D587)*100))</f>
        <v/>
      </c>
      <c r="H587" s="1" t="str">
        <f t="shared" ref="H587:H650" si="38">IF($B587="","",IF(LEFT($B587,6)="606880","emballages",IF(LEFT($B587,4)="6068","emballages",IF(LEFT($B587,3)="606","energie_dechets",IF(LEFT($B587,3)="164","tresorerie_financement",IF(LEFT($B587,2)="20","immobilisations",IF(LEFT($B587,2)="21","immobilisations",IF(LEFT($B587,2)="22","immobilisations",IF(LEFT($B587,2)="23","immobilisations",IF(LEFT($B587,2)="28","immobilisations",IF(LEFT($B587,2)="40","fournisseurs",IF(LEFT($B587,2)="41","clients",IF(LEFT($B587,2)="32","stocks",IF(LEFT($B587,2)="60","charges",IF(LEFT($B587,2)="61","services",IF(LEFT($B587,2)="62","personnel",IF(LEFT($B587,2)="63","fiscal",IF(LEFT($B587,2)="64","financier","autres"))))))))))))))))))</f>
        <v/>
      </c>
      <c r="I587" s="1" t="str">
        <f>IF($L587="","",INDEX(Ref_AccountRules,$L587,3))</f>
        <v/>
      </c>
      <c r="J587" s="1" t="str">
        <f>IF($L587="","",INDEX(Ref_AccountRules,$L587,4))</f>
        <v/>
      </c>
      <c r="K587" s="1" t="str">
        <f>IF($L587="","",INDEX(Ref_AccountRules,$L587,5))</f>
        <v/>
      </c>
      <c r="L587" s="1" t="str">
        <f t="shared" ref="L587:L650" si="39">IF($B587="","",IF(LEFT($B587,3)="215",1,IF(LEFT($B587,4)="2183",2,IF(LEFT($B587,3)="401",3,IF(LEFT($B587,3)="411",4,IF(LEFT($B587,3)="322",5,IF(LEFT($B587,4)="3220",6,IF(LEFT($B587,5)="32200",7,IF(LEFT($B587,3)="625",8,IF(LEFT($B587,3)="606",9,IF(LEFT($B587,3)="164",10,IF(LEFT($B587,6)="606880",11,""))))))))))))</f>
        <v/>
      </c>
    </row>
    <row r="588" spans="2:12" x14ac:dyDescent="0.35">
      <c r="B588" s="12"/>
      <c r="C588" s="11"/>
      <c r="D588" s="11"/>
      <c r="E588" s="11"/>
      <c r="F588" s="1" t="str">
        <f t="shared" si="36"/>
        <v/>
      </c>
      <c r="G588" s="1" t="str">
        <f t="shared" si="37"/>
        <v/>
      </c>
      <c r="H588" s="1" t="str">
        <f t="shared" si="38"/>
        <v/>
      </c>
      <c r="I588" s="1" t="str">
        <f>IF($L588="","",INDEX(Ref_AccountRules,$L588,3))</f>
        <v/>
      </c>
      <c r="J588" s="1" t="str">
        <f>IF($L588="","",INDEX(Ref_AccountRules,$L588,4))</f>
        <v/>
      </c>
      <c r="K588" s="1" t="str">
        <f>IF($L588="","",INDEX(Ref_AccountRules,$L588,5))</f>
        <v/>
      </c>
      <c r="L588" s="1" t="str">
        <f t="shared" si="39"/>
        <v/>
      </c>
    </row>
    <row r="589" spans="2:12" x14ac:dyDescent="0.35">
      <c r="B589" s="12"/>
      <c r="C589" s="11"/>
      <c r="D589" s="11"/>
      <c r="E589" s="11"/>
      <c r="F589" s="1" t="str">
        <f t="shared" si="36"/>
        <v/>
      </c>
      <c r="G589" s="1" t="str">
        <f t="shared" si="37"/>
        <v/>
      </c>
      <c r="H589" s="1" t="str">
        <f t="shared" si="38"/>
        <v/>
      </c>
      <c r="I589" s="1" t="str">
        <f>IF($L589="","",INDEX(Ref_AccountRules,$L589,3))</f>
        <v/>
      </c>
      <c r="J589" s="1" t="str">
        <f>IF($L589="","",INDEX(Ref_AccountRules,$L589,4))</f>
        <v/>
      </c>
      <c r="K589" s="1" t="str">
        <f>IF($L589="","",INDEX(Ref_AccountRules,$L589,5))</f>
        <v/>
      </c>
      <c r="L589" s="1" t="str">
        <f t="shared" si="39"/>
        <v/>
      </c>
    </row>
    <row r="590" spans="2:12" x14ac:dyDescent="0.35">
      <c r="B590" s="12"/>
      <c r="C590" s="11"/>
      <c r="D590" s="11"/>
      <c r="E590" s="11"/>
      <c r="F590" s="1" t="str">
        <f t="shared" si="36"/>
        <v/>
      </c>
      <c r="G590" s="1" t="str">
        <f t="shared" si="37"/>
        <v/>
      </c>
      <c r="H590" s="1" t="str">
        <f t="shared" si="38"/>
        <v/>
      </c>
      <c r="I590" s="1" t="str">
        <f>IF($L590="","",INDEX(Ref_AccountRules,$L590,3))</f>
        <v/>
      </c>
      <c r="J590" s="1" t="str">
        <f>IF($L590="","",INDEX(Ref_AccountRules,$L590,4))</f>
        <v/>
      </c>
      <c r="K590" s="1" t="str">
        <f>IF($L590="","",INDEX(Ref_AccountRules,$L590,5))</f>
        <v/>
      </c>
      <c r="L590" s="1" t="str">
        <f t="shared" si="39"/>
        <v/>
      </c>
    </row>
    <row r="591" spans="2:12" x14ac:dyDescent="0.35">
      <c r="B591" s="12"/>
      <c r="C591" s="11"/>
      <c r="D591" s="11"/>
      <c r="E591" s="11"/>
      <c r="F591" s="1" t="str">
        <f t="shared" si="36"/>
        <v/>
      </c>
      <c r="G591" s="1" t="str">
        <f t="shared" si="37"/>
        <v/>
      </c>
      <c r="H591" s="1" t="str">
        <f t="shared" si="38"/>
        <v/>
      </c>
      <c r="I591" s="1" t="str">
        <f>IF($L591="","",INDEX(Ref_AccountRules,$L591,3))</f>
        <v/>
      </c>
      <c r="J591" s="1" t="str">
        <f>IF($L591="","",INDEX(Ref_AccountRules,$L591,4))</f>
        <v/>
      </c>
      <c r="K591" s="1" t="str">
        <f>IF($L591="","",INDEX(Ref_AccountRules,$L591,5))</f>
        <v/>
      </c>
      <c r="L591" s="1" t="str">
        <f t="shared" si="39"/>
        <v/>
      </c>
    </row>
    <row r="592" spans="2:12" x14ac:dyDescent="0.35">
      <c r="B592" s="12"/>
      <c r="C592" s="11"/>
      <c r="D592" s="11"/>
      <c r="E592" s="11"/>
      <c r="F592" s="1" t="str">
        <f t="shared" si="36"/>
        <v/>
      </c>
      <c r="G592" s="1" t="str">
        <f t="shared" si="37"/>
        <v/>
      </c>
      <c r="H592" s="1" t="str">
        <f t="shared" si="38"/>
        <v/>
      </c>
      <c r="I592" s="1" t="str">
        <f>IF($L592="","",INDEX(Ref_AccountRules,$L592,3))</f>
        <v/>
      </c>
      <c r="J592" s="1" t="str">
        <f>IF($L592="","",INDEX(Ref_AccountRules,$L592,4))</f>
        <v/>
      </c>
      <c r="K592" s="1" t="str">
        <f>IF($L592="","",INDEX(Ref_AccountRules,$L592,5))</f>
        <v/>
      </c>
      <c r="L592" s="1" t="str">
        <f t="shared" si="39"/>
        <v/>
      </c>
    </row>
    <row r="593" spans="2:12" x14ac:dyDescent="0.35">
      <c r="B593" s="12"/>
      <c r="C593" s="11"/>
      <c r="D593" s="11"/>
      <c r="E593" s="11"/>
      <c r="F593" s="1" t="str">
        <f t="shared" si="36"/>
        <v/>
      </c>
      <c r="G593" s="1" t="str">
        <f t="shared" si="37"/>
        <v/>
      </c>
      <c r="H593" s="1" t="str">
        <f t="shared" si="38"/>
        <v/>
      </c>
      <c r="I593" s="1" t="str">
        <f>IF($L593="","",INDEX(Ref_AccountRules,$L593,3))</f>
        <v/>
      </c>
      <c r="J593" s="1" t="str">
        <f>IF($L593="","",INDEX(Ref_AccountRules,$L593,4))</f>
        <v/>
      </c>
      <c r="K593" s="1" t="str">
        <f>IF($L593="","",INDEX(Ref_AccountRules,$L593,5))</f>
        <v/>
      </c>
      <c r="L593" s="1" t="str">
        <f t="shared" si="39"/>
        <v/>
      </c>
    </row>
    <row r="594" spans="2:12" x14ac:dyDescent="0.35">
      <c r="B594" s="12"/>
      <c r="C594" s="11"/>
      <c r="D594" s="11"/>
      <c r="E594" s="11"/>
      <c r="F594" s="1" t="str">
        <f t="shared" si="36"/>
        <v/>
      </c>
      <c r="G594" s="1" t="str">
        <f t="shared" si="37"/>
        <v/>
      </c>
      <c r="H594" s="1" t="str">
        <f t="shared" si="38"/>
        <v/>
      </c>
      <c r="I594" s="1" t="str">
        <f>IF($L594="","",INDEX(Ref_AccountRules,$L594,3))</f>
        <v/>
      </c>
      <c r="J594" s="1" t="str">
        <f>IF($L594="","",INDEX(Ref_AccountRules,$L594,4))</f>
        <v/>
      </c>
      <c r="K594" s="1" t="str">
        <f>IF($L594="","",INDEX(Ref_AccountRules,$L594,5))</f>
        <v/>
      </c>
      <c r="L594" s="1" t="str">
        <f t="shared" si="39"/>
        <v/>
      </c>
    </row>
    <row r="595" spans="2:12" x14ac:dyDescent="0.35">
      <c r="B595" s="12"/>
      <c r="C595" s="11"/>
      <c r="D595" s="11"/>
      <c r="E595" s="11"/>
      <c r="F595" s="1" t="str">
        <f t="shared" si="36"/>
        <v/>
      </c>
      <c r="G595" s="1" t="str">
        <f t="shared" si="37"/>
        <v/>
      </c>
      <c r="H595" s="1" t="str">
        <f t="shared" si="38"/>
        <v/>
      </c>
      <c r="I595" s="1" t="str">
        <f>IF($L595="","",INDEX(Ref_AccountRules,$L595,3))</f>
        <v/>
      </c>
      <c r="J595" s="1" t="str">
        <f>IF($L595="","",INDEX(Ref_AccountRules,$L595,4))</f>
        <v/>
      </c>
      <c r="K595" s="1" t="str">
        <f>IF($L595="","",INDEX(Ref_AccountRules,$L595,5))</f>
        <v/>
      </c>
      <c r="L595" s="1" t="str">
        <f t="shared" si="39"/>
        <v/>
      </c>
    </row>
    <row r="596" spans="2:12" x14ac:dyDescent="0.35">
      <c r="B596" s="12"/>
      <c r="C596" s="11"/>
      <c r="D596" s="11"/>
      <c r="E596" s="11"/>
      <c r="F596" s="1" t="str">
        <f t="shared" si="36"/>
        <v/>
      </c>
      <c r="G596" s="1" t="str">
        <f t="shared" si="37"/>
        <v/>
      </c>
      <c r="H596" s="1" t="str">
        <f t="shared" si="38"/>
        <v/>
      </c>
      <c r="I596" s="1" t="str">
        <f>IF($L596="","",INDEX(Ref_AccountRules,$L596,3))</f>
        <v/>
      </c>
      <c r="J596" s="1" t="str">
        <f>IF($L596="","",INDEX(Ref_AccountRules,$L596,4))</f>
        <v/>
      </c>
      <c r="K596" s="1" t="str">
        <f>IF($L596="","",INDEX(Ref_AccountRules,$L596,5))</f>
        <v/>
      </c>
      <c r="L596" s="1" t="str">
        <f t="shared" si="39"/>
        <v/>
      </c>
    </row>
    <row r="597" spans="2:12" x14ac:dyDescent="0.35">
      <c r="B597" s="12"/>
      <c r="C597" s="11"/>
      <c r="D597" s="11"/>
      <c r="E597" s="11"/>
      <c r="F597" s="1" t="str">
        <f t="shared" si="36"/>
        <v/>
      </c>
      <c r="G597" s="1" t="str">
        <f t="shared" si="37"/>
        <v/>
      </c>
      <c r="H597" s="1" t="str">
        <f t="shared" si="38"/>
        <v/>
      </c>
      <c r="I597" s="1" t="str">
        <f>IF($L597="","",INDEX(Ref_AccountRules,$L597,3))</f>
        <v/>
      </c>
      <c r="J597" s="1" t="str">
        <f>IF($L597="","",INDEX(Ref_AccountRules,$L597,4))</f>
        <v/>
      </c>
      <c r="K597" s="1" t="str">
        <f>IF($L597="","",INDEX(Ref_AccountRules,$L597,5))</f>
        <v/>
      </c>
      <c r="L597" s="1" t="str">
        <f t="shared" si="39"/>
        <v/>
      </c>
    </row>
    <row r="598" spans="2:12" x14ac:dyDescent="0.35">
      <c r="B598" s="12"/>
      <c r="C598" s="11"/>
      <c r="D598" s="11"/>
      <c r="E598" s="11"/>
      <c r="F598" s="1" t="str">
        <f t="shared" si="36"/>
        <v/>
      </c>
      <c r="G598" s="1" t="str">
        <f t="shared" si="37"/>
        <v/>
      </c>
      <c r="H598" s="1" t="str">
        <f t="shared" si="38"/>
        <v/>
      </c>
      <c r="I598" s="1" t="str">
        <f>IF($L598="","",INDEX(Ref_AccountRules,$L598,3))</f>
        <v/>
      </c>
      <c r="J598" s="1" t="str">
        <f>IF($L598="","",INDEX(Ref_AccountRules,$L598,4))</f>
        <v/>
      </c>
      <c r="K598" s="1" t="str">
        <f>IF($L598="","",INDEX(Ref_AccountRules,$L598,5))</f>
        <v/>
      </c>
      <c r="L598" s="1" t="str">
        <f t="shared" si="39"/>
        <v/>
      </c>
    </row>
    <row r="599" spans="2:12" x14ac:dyDescent="0.35">
      <c r="B599" s="12"/>
      <c r="C599" s="11"/>
      <c r="D599" s="11"/>
      <c r="E599" s="11"/>
      <c r="F599" s="1" t="str">
        <f t="shared" si="36"/>
        <v/>
      </c>
      <c r="G599" s="1" t="str">
        <f t="shared" si="37"/>
        <v/>
      </c>
      <c r="H599" s="1" t="str">
        <f t="shared" si="38"/>
        <v/>
      </c>
      <c r="I599" s="1" t="str">
        <f>IF($L599="","",INDEX(Ref_AccountRules,$L599,3))</f>
        <v/>
      </c>
      <c r="J599" s="1" t="str">
        <f>IF($L599="","",INDEX(Ref_AccountRules,$L599,4))</f>
        <v/>
      </c>
      <c r="K599" s="1" t="str">
        <f>IF($L599="","",INDEX(Ref_AccountRules,$L599,5))</f>
        <v/>
      </c>
      <c r="L599" s="1" t="str">
        <f t="shared" si="39"/>
        <v/>
      </c>
    </row>
    <row r="600" spans="2:12" x14ac:dyDescent="0.35">
      <c r="B600" s="12"/>
      <c r="C600" s="11"/>
      <c r="D600" s="11"/>
      <c r="E600" s="11"/>
      <c r="F600" s="1" t="str">
        <f t="shared" si="36"/>
        <v/>
      </c>
      <c r="G600" s="1" t="str">
        <f t="shared" si="37"/>
        <v/>
      </c>
      <c r="H600" s="1" t="str">
        <f t="shared" si="38"/>
        <v/>
      </c>
      <c r="I600" s="1" t="str">
        <f>IF($L600="","",INDEX(Ref_AccountRules,$L600,3))</f>
        <v/>
      </c>
      <c r="J600" s="1" t="str">
        <f>IF($L600="","",INDEX(Ref_AccountRules,$L600,4))</f>
        <v/>
      </c>
      <c r="K600" s="1" t="str">
        <f>IF($L600="","",INDEX(Ref_AccountRules,$L600,5))</f>
        <v/>
      </c>
      <c r="L600" s="1" t="str">
        <f t="shared" si="39"/>
        <v/>
      </c>
    </row>
    <row r="601" spans="2:12" x14ac:dyDescent="0.35">
      <c r="B601" s="12"/>
      <c r="C601" s="11"/>
      <c r="D601" s="11"/>
      <c r="E601" s="11"/>
      <c r="F601" s="1" t="str">
        <f t="shared" si="36"/>
        <v/>
      </c>
      <c r="G601" s="1" t="str">
        <f t="shared" si="37"/>
        <v/>
      </c>
      <c r="H601" s="1" t="str">
        <f t="shared" si="38"/>
        <v/>
      </c>
      <c r="I601" s="1" t="str">
        <f>IF($L601="","",INDEX(Ref_AccountRules,$L601,3))</f>
        <v/>
      </c>
      <c r="J601" s="1" t="str">
        <f>IF($L601="","",INDEX(Ref_AccountRules,$L601,4))</f>
        <v/>
      </c>
      <c r="K601" s="1" t="str">
        <f>IF($L601="","",INDEX(Ref_AccountRules,$L601,5))</f>
        <v/>
      </c>
      <c r="L601" s="1" t="str">
        <f t="shared" si="39"/>
        <v/>
      </c>
    </row>
    <row r="602" spans="2:12" x14ac:dyDescent="0.35">
      <c r="B602" s="12"/>
      <c r="C602" s="11"/>
      <c r="D602" s="11"/>
      <c r="E602" s="11"/>
      <c r="F602" s="1" t="str">
        <f t="shared" si="36"/>
        <v/>
      </c>
      <c r="G602" s="1" t="str">
        <f t="shared" si="37"/>
        <v/>
      </c>
      <c r="H602" s="1" t="str">
        <f t="shared" si="38"/>
        <v/>
      </c>
      <c r="I602" s="1" t="str">
        <f>IF($L602="","",INDEX(Ref_AccountRules,$L602,3))</f>
        <v/>
      </c>
      <c r="J602" s="1" t="str">
        <f>IF($L602="","",INDEX(Ref_AccountRules,$L602,4))</f>
        <v/>
      </c>
      <c r="K602" s="1" t="str">
        <f>IF($L602="","",INDEX(Ref_AccountRules,$L602,5))</f>
        <v/>
      </c>
      <c r="L602" s="1" t="str">
        <f t="shared" si="39"/>
        <v/>
      </c>
    </row>
    <row r="603" spans="2:12" x14ac:dyDescent="0.35">
      <c r="B603" s="12"/>
      <c r="C603" s="11"/>
      <c r="D603" s="11"/>
      <c r="E603" s="11"/>
      <c r="F603" s="1" t="str">
        <f t="shared" si="36"/>
        <v/>
      </c>
      <c r="G603" s="1" t="str">
        <f t="shared" si="37"/>
        <v/>
      </c>
      <c r="H603" s="1" t="str">
        <f t="shared" si="38"/>
        <v/>
      </c>
      <c r="I603" s="1" t="str">
        <f>IF($L603="","",INDEX(Ref_AccountRules,$L603,3))</f>
        <v/>
      </c>
      <c r="J603" s="1" t="str">
        <f>IF($L603="","",INDEX(Ref_AccountRules,$L603,4))</f>
        <v/>
      </c>
      <c r="K603" s="1" t="str">
        <f>IF($L603="","",INDEX(Ref_AccountRules,$L603,5))</f>
        <v/>
      </c>
      <c r="L603" s="1" t="str">
        <f t="shared" si="39"/>
        <v/>
      </c>
    </row>
    <row r="604" spans="2:12" x14ac:dyDescent="0.35">
      <c r="B604" s="12"/>
      <c r="C604" s="11"/>
      <c r="D604" s="11"/>
      <c r="E604" s="11"/>
      <c r="F604" s="1" t="str">
        <f t="shared" si="36"/>
        <v/>
      </c>
      <c r="G604" s="1" t="str">
        <f t="shared" si="37"/>
        <v/>
      </c>
      <c r="H604" s="1" t="str">
        <f t="shared" si="38"/>
        <v/>
      </c>
      <c r="I604" s="1" t="str">
        <f>IF($L604="","",INDEX(Ref_AccountRules,$L604,3))</f>
        <v/>
      </c>
      <c r="J604" s="1" t="str">
        <f>IF($L604="","",INDEX(Ref_AccountRules,$L604,4))</f>
        <v/>
      </c>
      <c r="K604" s="1" t="str">
        <f>IF($L604="","",INDEX(Ref_AccountRules,$L604,5))</f>
        <v/>
      </c>
      <c r="L604" s="1" t="str">
        <f t="shared" si="39"/>
        <v/>
      </c>
    </row>
    <row r="605" spans="2:12" x14ac:dyDescent="0.35">
      <c r="B605" s="12"/>
      <c r="C605" s="11"/>
      <c r="D605" s="11"/>
      <c r="E605" s="11"/>
      <c r="F605" s="1" t="str">
        <f t="shared" si="36"/>
        <v/>
      </c>
      <c r="G605" s="1" t="str">
        <f t="shared" si="37"/>
        <v/>
      </c>
      <c r="H605" s="1" t="str">
        <f t="shared" si="38"/>
        <v/>
      </c>
      <c r="I605" s="1" t="str">
        <f>IF($L605="","",INDEX(Ref_AccountRules,$L605,3))</f>
        <v/>
      </c>
      <c r="J605" s="1" t="str">
        <f>IF($L605="","",INDEX(Ref_AccountRules,$L605,4))</f>
        <v/>
      </c>
      <c r="K605" s="1" t="str">
        <f>IF($L605="","",INDEX(Ref_AccountRules,$L605,5))</f>
        <v/>
      </c>
      <c r="L605" s="1" t="str">
        <f t="shared" si="39"/>
        <v/>
      </c>
    </row>
    <row r="606" spans="2:12" x14ac:dyDescent="0.35">
      <c r="B606" s="12"/>
      <c r="C606" s="11"/>
      <c r="D606" s="11"/>
      <c r="E606" s="11"/>
      <c r="F606" s="1" t="str">
        <f t="shared" si="36"/>
        <v/>
      </c>
      <c r="G606" s="1" t="str">
        <f t="shared" si="37"/>
        <v/>
      </c>
      <c r="H606" s="1" t="str">
        <f t="shared" si="38"/>
        <v/>
      </c>
      <c r="I606" s="1" t="str">
        <f>IF($L606="","",INDEX(Ref_AccountRules,$L606,3))</f>
        <v/>
      </c>
      <c r="J606" s="1" t="str">
        <f>IF($L606="","",INDEX(Ref_AccountRules,$L606,4))</f>
        <v/>
      </c>
      <c r="K606" s="1" t="str">
        <f>IF($L606="","",INDEX(Ref_AccountRules,$L606,5))</f>
        <v/>
      </c>
      <c r="L606" s="1" t="str">
        <f t="shared" si="39"/>
        <v/>
      </c>
    </row>
    <row r="607" spans="2:12" x14ac:dyDescent="0.35">
      <c r="B607" s="12"/>
      <c r="C607" s="11"/>
      <c r="D607" s="11"/>
      <c r="E607" s="11"/>
      <c r="F607" s="1" t="str">
        <f t="shared" si="36"/>
        <v/>
      </c>
      <c r="G607" s="1" t="str">
        <f t="shared" si="37"/>
        <v/>
      </c>
      <c r="H607" s="1" t="str">
        <f t="shared" si="38"/>
        <v/>
      </c>
      <c r="I607" s="1" t="str">
        <f>IF($L607="","",INDEX(Ref_AccountRules,$L607,3))</f>
        <v/>
      </c>
      <c r="J607" s="1" t="str">
        <f>IF($L607="","",INDEX(Ref_AccountRules,$L607,4))</f>
        <v/>
      </c>
      <c r="K607" s="1" t="str">
        <f>IF($L607="","",INDEX(Ref_AccountRules,$L607,5))</f>
        <v/>
      </c>
      <c r="L607" s="1" t="str">
        <f t="shared" si="39"/>
        <v/>
      </c>
    </row>
    <row r="608" spans="2:12" x14ac:dyDescent="0.35">
      <c r="B608" s="12"/>
      <c r="C608" s="11"/>
      <c r="D608" s="11"/>
      <c r="E608" s="11"/>
      <c r="F608" s="1" t="str">
        <f t="shared" si="36"/>
        <v/>
      </c>
      <c r="G608" s="1" t="str">
        <f t="shared" si="37"/>
        <v/>
      </c>
      <c r="H608" s="1" t="str">
        <f t="shared" si="38"/>
        <v/>
      </c>
      <c r="I608" s="1" t="str">
        <f>IF($L608="","",INDEX(Ref_AccountRules,$L608,3))</f>
        <v/>
      </c>
      <c r="J608" s="1" t="str">
        <f>IF($L608="","",INDEX(Ref_AccountRules,$L608,4))</f>
        <v/>
      </c>
      <c r="K608" s="1" t="str">
        <f>IF($L608="","",INDEX(Ref_AccountRules,$L608,5))</f>
        <v/>
      </c>
      <c r="L608" s="1" t="str">
        <f t="shared" si="39"/>
        <v/>
      </c>
    </row>
    <row r="609" spans="2:12" x14ac:dyDescent="0.35">
      <c r="B609" s="12"/>
      <c r="C609" s="11"/>
      <c r="D609" s="11"/>
      <c r="E609" s="11"/>
      <c r="F609" s="1" t="str">
        <f t="shared" si="36"/>
        <v/>
      </c>
      <c r="G609" s="1" t="str">
        <f t="shared" si="37"/>
        <v/>
      </c>
      <c r="H609" s="1" t="str">
        <f t="shared" si="38"/>
        <v/>
      </c>
      <c r="I609" s="1" t="str">
        <f>IF($L609="","",INDEX(Ref_AccountRules,$L609,3))</f>
        <v/>
      </c>
      <c r="J609" s="1" t="str">
        <f>IF($L609="","",INDEX(Ref_AccountRules,$L609,4))</f>
        <v/>
      </c>
      <c r="K609" s="1" t="str">
        <f>IF($L609="","",INDEX(Ref_AccountRules,$L609,5))</f>
        <v/>
      </c>
      <c r="L609" s="1" t="str">
        <f t="shared" si="39"/>
        <v/>
      </c>
    </row>
    <row r="610" spans="2:12" x14ac:dyDescent="0.35">
      <c r="B610" s="12"/>
      <c r="C610" s="11"/>
      <c r="D610" s="11"/>
      <c r="E610" s="11"/>
      <c r="F610" s="1" t="str">
        <f t="shared" si="36"/>
        <v/>
      </c>
      <c r="G610" s="1" t="str">
        <f t="shared" si="37"/>
        <v/>
      </c>
      <c r="H610" s="1" t="str">
        <f t="shared" si="38"/>
        <v/>
      </c>
      <c r="I610" s="1" t="str">
        <f>IF($L610="","",INDEX(Ref_AccountRules,$L610,3))</f>
        <v/>
      </c>
      <c r="J610" s="1" t="str">
        <f>IF($L610="","",INDEX(Ref_AccountRules,$L610,4))</f>
        <v/>
      </c>
      <c r="K610" s="1" t="str">
        <f>IF($L610="","",INDEX(Ref_AccountRules,$L610,5))</f>
        <v/>
      </c>
      <c r="L610" s="1" t="str">
        <f t="shared" si="39"/>
        <v/>
      </c>
    </row>
    <row r="611" spans="2:12" x14ac:dyDescent="0.35">
      <c r="B611" s="12"/>
      <c r="C611" s="11"/>
      <c r="D611" s="11"/>
      <c r="E611" s="11"/>
      <c r="F611" s="1" t="str">
        <f t="shared" si="36"/>
        <v/>
      </c>
      <c r="G611" s="1" t="str">
        <f t="shared" si="37"/>
        <v/>
      </c>
      <c r="H611" s="1" t="str">
        <f t="shared" si="38"/>
        <v/>
      </c>
      <c r="I611" s="1" t="str">
        <f>IF($L611="","",INDEX(Ref_AccountRules,$L611,3))</f>
        <v/>
      </c>
      <c r="J611" s="1" t="str">
        <f>IF($L611="","",INDEX(Ref_AccountRules,$L611,4))</f>
        <v/>
      </c>
      <c r="K611" s="1" t="str">
        <f>IF($L611="","",INDEX(Ref_AccountRules,$L611,5))</f>
        <v/>
      </c>
      <c r="L611" s="1" t="str">
        <f t="shared" si="39"/>
        <v/>
      </c>
    </row>
    <row r="612" spans="2:12" x14ac:dyDescent="0.35">
      <c r="B612" s="12"/>
      <c r="C612" s="11"/>
      <c r="D612" s="11"/>
      <c r="E612" s="11"/>
      <c r="F612" s="1" t="str">
        <f t="shared" si="36"/>
        <v/>
      </c>
      <c r="G612" s="1" t="str">
        <f t="shared" si="37"/>
        <v/>
      </c>
      <c r="H612" s="1" t="str">
        <f t="shared" si="38"/>
        <v/>
      </c>
      <c r="I612" s="1" t="str">
        <f>IF($L612="","",INDEX(Ref_AccountRules,$L612,3))</f>
        <v/>
      </c>
      <c r="J612" s="1" t="str">
        <f>IF($L612="","",INDEX(Ref_AccountRules,$L612,4))</f>
        <v/>
      </c>
      <c r="K612" s="1" t="str">
        <f>IF($L612="","",INDEX(Ref_AccountRules,$L612,5))</f>
        <v/>
      </c>
      <c r="L612" s="1" t="str">
        <f t="shared" si="39"/>
        <v/>
      </c>
    </row>
    <row r="613" spans="2:12" x14ac:dyDescent="0.35">
      <c r="B613" s="12"/>
      <c r="C613" s="11"/>
      <c r="D613" s="11"/>
      <c r="E613" s="11"/>
      <c r="F613" s="1" t="str">
        <f t="shared" si="36"/>
        <v/>
      </c>
      <c r="G613" s="1" t="str">
        <f t="shared" si="37"/>
        <v/>
      </c>
      <c r="H613" s="1" t="str">
        <f t="shared" si="38"/>
        <v/>
      </c>
      <c r="I613" s="1" t="str">
        <f>IF($L613="","",INDEX(Ref_AccountRules,$L613,3))</f>
        <v/>
      </c>
      <c r="J613" s="1" t="str">
        <f>IF($L613="","",INDEX(Ref_AccountRules,$L613,4))</f>
        <v/>
      </c>
      <c r="K613" s="1" t="str">
        <f>IF($L613="","",INDEX(Ref_AccountRules,$L613,5))</f>
        <v/>
      </c>
      <c r="L613" s="1" t="str">
        <f t="shared" si="39"/>
        <v/>
      </c>
    </row>
    <row r="614" spans="2:12" x14ac:dyDescent="0.35">
      <c r="B614" s="12"/>
      <c r="C614" s="11"/>
      <c r="D614" s="11"/>
      <c r="E614" s="11"/>
      <c r="F614" s="1" t="str">
        <f t="shared" si="36"/>
        <v/>
      </c>
      <c r="G614" s="1" t="str">
        <f t="shared" si="37"/>
        <v/>
      </c>
      <c r="H614" s="1" t="str">
        <f t="shared" si="38"/>
        <v/>
      </c>
      <c r="I614" s="1" t="str">
        <f>IF($L614="","",INDEX(Ref_AccountRules,$L614,3))</f>
        <v/>
      </c>
      <c r="J614" s="1" t="str">
        <f>IF($L614="","",INDEX(Ref_AccountRules,$L614,4))</f>
        <v/>
      </c>
      <c r="K614" s="1" t="str">
        <f>IF($L614="","",INDEX(Ref_AccountRules,$L614,5))</f>
        <v/>
      </c>
      <c r="L614" s="1" t="str">
        <f t="shared" si="39"/>
        <v/>
      </c>
    </row>
    <row r="615" spans="2:12" x14ac:dyDescent="0.35">
      <c r="B615" s="12"/>
      <c r="C615" s="11"/>
      <c r="D615" s="11"/>
      <c r="E615" s="11"/>
      <c r="F615" s="1" t="str">
        <f t="shared" si="36"/>
        <v/>
      </c>
      <c r="G615" s="1" t="str">
        <f t="shared" si="37"/>
        <v/>
      </c>
      <c r="H615" s="1" t="str">
        <f t="shared" si="38"/>
        <v/>
      </c>
      <c r="I615" s="1" t="str">
        <f>IF($L615="","",INDEX(Ref_AccountRules,$L615,3))</f>
        <v/>
      </c>
      <c r="J615" s="1" t="str">
        <f>IF($L615="","",INDEX(Ref_AccountRules,$L615,4))</f>
        <v/>
      </c>
      <c r="K615" s="1" t="str">
        <f>IF($L615="","",INDEX(Ref_AccountRules,$L615,5))</f>
        <v/>
      </c>
      <c r="L615" s="1" t="str">
        <f t="shared" si="39"/>
        <v/>
      </c>
    </row>
    <row r="616" spans="2:12" x14ac:dyDescent="0.35">
      <c r="B616" s="12"/>
      <c r="C616" s="11"/>
      <c r="D616" s="11"/>
      <c r="E616" s="11"/>
      <c r="F616" s="1" t="str">
        <f t="shared" si="36"/>
        <v/>
      </c>
      <c r="G616" s="1" t="str">
        <f t="shared" si="37"/>
        <v/>
      </c>
      <c r="H616" s="1" t="str">
        <f t="shared" si="38"/>
        <v/>
      </c>
      <c r="I616" s="1" t="str">
        <f>IF($L616="","",INDEX(Ref_AccountRules,$L616,3))</f>
        <v/>
      </c>
      <c r="J616" s="1" t="str">
        <f>IF($L616="","",INDEX(Ref_AccountRules,$L616,4))</f>
        <v/>
      </c>
      <c r="K616" s="1" t="str">
        <f>IF($L616="","",INDEX(Ref_AccountRules,$L616,5))</f>
        <v/>
      </c>
      <c r="L616" s="1" t="str">
        <f t="shared" si="39"/>
        <v/>
      </c>
    </row>
    <row r="617" spans="2:12" x14ac:dyDescent="0.35">
      <c r="B617" s="12"/>
      <c r="C617" s="11"/>
      <c r="D617" s="11"/>
      <c r="E617" s="11"/>
      <c r="F617" s="1" t="str">
        <f t="shared" si="36"/>
        <v/>
      </c>
      <c r="G617" s="1" t="str">
        <f t="shared" si="37"/>
        <v/>
      </c>
      <c r="H617" s="1" t="str">
        <f t="shared" si="38"/>
        <v/>
      </c>
      <c r="I617" s="1" t="str">
        <f>IF($L617="","",INDEX(Ref_AccountRules,$L617,3))</f>
        <v/>
      </c>
      <c r="J617" s="1" t="str">
        <f>IF($L617="","",INDEX(Ref_AccountRules,$L617,4))</f>
        <v/>
      </c>
      <c r="K617" s="1" t="str">
        <f>IF($L617="","",INDEX(Ref_AccountRules,$L617,5))</f>
        <v/>
      </c>
      <c r="L617" s="1" t="str">
        <f t="shared" si="39"/>
        <v/>
      </c>
    </row>
    <row r="618" spans="2:12" x14ac:dyDescent="0.35">
      <c r="B618" s="12"/>
      <c r="C618" s="11"/>
      <c r="D618" s="11"/>
      <c r="E618" s="11"/>
      <c r="F618" s="1" t="str">
        <f t="shared" si="36"/>
        <v/>
      </c>
      <c r="G618" s="1" t="str">
        <f t="shared" si="37"/>
        <v/>
      </c>
      <c r="H618" s="1" t="str">
        <f t="shared" si="38"/>
        <v/>
      </c>
      <c r="I618" s="1" t="str">
        <f>IF($L618="","",INDEX(Ref_AccountRules,$L618,3))</f>
        <v/>
      </c>
      <c r="J618" s="1" t="str">
        <f>IF($L618="","",INDEX(Ref_AccountRules,$L618,4))</f>
        <v/>
      </c>
      <c r="K618" s="1" t="str">
        <f>IF($L618="","",INDEX(Ref_AccountRules,$L618,5))</f>
        <v/>
      </c>
      <c r="L618" s="1" t="str">
        <f t="shared" si="39"/>
        <v/>
      </c>
    </row>
    <row r="619" spans="2:12" x14ac:dyDescent="0.35">
      <c r="B619" s="12"/>
      <c r="C619" s="11"/>
      <c r="D619" s="11"/>
      <c r="E619" s="11"/>
      <c r="F619" s="1" t="str">
        <f t="shared" si="36"/>
        <v/>
      </c>
      <c r="G619" s="1" t="str">
        <f t="shared" si="37"/>
        <v/>
      </c>
      <c r="H619" s="1" t="str">
        <f t="shared" si="38"/>
        <v/>
      </c>
      <c r="I619" s="1" t="str">
        <f>IF($L619="","",INDEX(Ref_AccountRules,$L619,3))</f>
        <v/>
      </c>
      <c r="J619" s="1" t="str">
        <f>IF($L619="","",INDEX(Ref_AccountRules,$L619,4))</f>
        <v/>
      </c>
      <c r="K619" s="1" t="str">
        <f>IF($L619="","",INDEX(Ref_AccountRules,$L619,5))</f>
        <v/>
      </c>
      <c r="L619" s="1" t="str">
        <f t="shared" si="39"/>
        <v/>
      </c>
    </row>
    <row r="620" spans="2:12" x14ac:dyDescent="0.35">
      <c r="B620" s="12"/>
      <c r="C620" s="11"/>
      <c r="D620" s="11"/>
      <c r="E620" s="11"/>
      <c r="F620" s="1" t="str">
        <f t="shared" si="36"/>
        <v/>
      </c>
      <c r="G620" s="1" t="str">
        <f t="shared" si="37"/>
        <v/>
      </c>
      <c r="H620" s="1" t="str">
        <f t="shared" si="38"/>
        <v/>
      </c>
      <c r="I620" s="1" t="str">
        <f>IF($L620="","",INDEX(Ref_AccountRules,$L620,3))</f>
        <v/>
      </c>
      <c r="J620" s="1" t="str">
        <f>IF($L620="","",INDEX(Ref_AccountRules,$L620,4))</f>
        <v/>
      </c>
      <c r="K620" s="1" t="str">
        <f>IF($L620="","",INDEX(Ref_AccountRules,$L620,5))</f>
        <v/>
      </c>
      <c r="L620" s="1" t="str">
        <f t="shared" si="39"/>
        <v/>
      </c>
    </row>
    <row r="621" spans="2:12" x14ac:dyDescent="0.35">
      <c r="B621" s="12"/>
      <c r="C621" s="11"/>
      <c r="D621" s="11"/>
      <c r="E621" s="11"/>
      <c r="F621" s="1" t="str">
        <f t="shared" si="36"/>
        <v/>
      </c>
      <c r="G621" s="1" t="str">
        <f t="shared" si="37"/>
        <v/>
      </c>
      <c r="H621" s="1" t="str">
        <f t="shared" si="38"/>
        <v/>
      </c>
      <c r="I621" s="1" t="str">
        <f>IF($L621="","",INDEX(Ref_AccountRules,$L621,3))</f>
        <v/>
      </c>
      <c r="J621" s="1" t="str">
        <f>IF($L621="","",INDEX(Ref_AccountRules,$L621,4))</f>
        <v/>
      </c>
      <c r="K621" s="1" t="str">
        <f>IF($L621="","",INDEX(Ref_AccountRules,$L621,5))</f>
        <v/>
      </c>
      <c r="L621" s="1" t="str">
        <f t="shared" si="39"/>
        <v/>
      </c>
    </row>
    <row r="622" spans="2:12" x14ac:dyDescent="0.35">
      <c r="B622" s="12"/>
      <c r="C622" s="11"/>
      <c r="D622" s="11"/>
      <c r="E622" s="11"/>
      <c r="F622" s="1" t="str">
        <f t="shared" si="36"/>
        <v/>
      </c>
      <c r="G622" s="1" t="str">
        <f t="shared" si="37"/>
        <v/>
      </c>
      <c r="H622" s="1" t="str">
        <f t="shared" si="38"/>
        <v/>
      </c>
      <c r="I622" s="1" t="str">
        <f>IF($L622="","",INDEX(Ref_AccountRules,$L622,3))</f>
        <v/>
      </c>
      <c r="J622" s="1" t="str">
        <f>IF($L622="","",INDEX(Ref_AccountRules,$L622,4))</f>
        <v/>
      </c>
      <c r="K622" s="1" t="str">
        <f>IF($L622="","",INDEX(Ref_AccountRules,$L622,5))</f>
        <v/>
      </c>
      <c r="L622" s="1" t="str">
        <f t="shared" si="39"/>
        <v/>
      </c>
    </row>
    <row r="623" spans="2:12" x14ac:dyDescent="0.35">
      <c r="B623" s="12"/>
      <c r="C623" s="11"/>
      <c r="D623" s="11"/>
      <c r="E623" s="11"/>
      <c r="F623" s="1" t="str">
        <f t="shared" si="36"/>
        <v/>
      </c>
      <c r="G623" s="1" t="str">
        <f t="shared" si="37"/>
        <v/>
      </c>
      <c r="H623" s="1" t="str">
        <f t="shared" si="38"/>
        <v/>
      </c>
      <c r="I623" s="1" t="str">
        <f>IF($L623="","",INDEX(Ref_AccountRules,$L623,3))</f>
        <v/>
      </c>
      <c r="J623" s="1" t="str">
        <f>IF($L623="","",INDEX(Ref_AccountRules,$L623,4))</f>
        <v/>
      </c>
      <c r="K623" s="1" t="str">
        <f>IF($L623="","",INDEX(Ref_AccountRules,$L623,5))</f>
        <v/>
      </c>
      <c r="L623" s="1" t="str">
        <f t="shared" si="39"/>
        <v/>
      </c>
    </row>
    <row r="624" spans="2:12" x14ac:dyDescent="0.35">
      <c r="B624" s="12"/>
      <c r="C624" s="11"/>
      <c r="D624" s="11"/>
      <c r="E624" s="11"/>
      <c r="F624" s="1" t="str">
        <f t="shared" si="36"/>
        <v/>
      </c>
      <c r="G624" s="1" t="str">
        <f t="shared" si="37"/>
        <v/>
      </c>
      <c r="H624" s="1" t="str">
        <f t="shared" si="38"/>
        <v/>
      </c>
      <c r="I624" s="1" t="str">
        <f>IF($L624="","",INDEX(Ref_AccountRules,$L624,3))</f>
        <v/>
      </c>
      <c r="J624" s="1" t="str">
        <f>IF($L624="","",INDEX(Ref_AccountRules,$L624,4))</f>
        <v/>
      </c>
      <c r="K624" s="1" t="str">
        <f>IF($L624="","",INDEX(Ref_AccountRules,$L624,5))</f>
        <v/>
      </c>
      <c r="L624" s="1" t="str">
        <f t="shared" si="39"/>
        <v/>
      </c>
    </row>
    <row r="625" spans="2:12" x14ac:dyDescent="0.35">
      <c r="B625" s="12"/>
      <c r="C625" s="11"/>
      <c r="D625" s="11"/>
      <c r="E625" s="11"/>
      <c r="F625" s="1" t="str">
        <f t="shared" si="36"/>
        <v/>
      </c>
      <c r="G625" s="1" t="str">
        <f t="shared" si="37"/>
        <v/>
      </c>
      <c r="H625" s="1" t="str">
        <f t="shared" si="38"/>
        <v/>
      </c>
      <c r="I625" s="1" t="str">
        <f>IF($L625="","",INDEX(Ref_AccountRules,$L625,3))</f>
        <v/>
      </c>
      <c r="J625" s="1" t="str">
        <f>IF($L625="","",INDEX(Ref_AccountRules,$L625,4))</f>
        <v/>
      </c>
      <c r="K625" s="1" t="str">
        <f>IF($L625="","",INDEX(Ref_AccountRules,$L625,5))</f>
        <v/>
      </c>
      <c r="L625" s="1" t="str">
        <f t="shared" si="39"/>
        <v/>
      </c>
    </row>
    <row r="626" spans="2:12" x14ac:dyDescent="0.35">
      <c r="B626" s="12"/>
      <c r="C626" s="11"/>
      <c r="D626" s="11"/>
      <c r="E626" s="11"/>
      <c r="F626" s="1" t="str">
        <f t="shared" si="36"/>
        <v/>
      </c>
      <c r="G626" s="1" t="str">
        <f t="shared" si="37"/>
        <v/>
      </c>
      <c r="H626" s="1" t="str">
        <f t="shared" si="38"/>
        <v/>
      </c>
      <c r="I626" s="1" t="str">
        <f>IF($L626="","",INDEX(Ref_AccountRules,$L626,3))</f>
        <v/>
      </c>
      <c r="J626" s="1" t="str">
        <f>IF($L626="","",INDEX(Ref_AccountRules,$L626,4))</f>
        <v/>
      </c>
      <c r="K626" s="1" t="str">
        <f>IF($L626="","",INDEX(Ref_AccountRules,$L626,5))</f>
        <v/>
      </c>
      <c r="L626" s="1" t="str">
        <f t="shared" si="39"/>
        <v/>
      </c>
    </row>
    <row r="627" spans="2:12" x14ac:dyDescent="0.35">
      <c r="B627" s="12"/>
      <c r="C627" s="11"/>
      <c r="D627" s="11"/>
      <c r="E627" s="11"/>
      <c r="F627" s="1" t="str">
        <f t="shared" si="36"/>
        <v/>
      </c>
      <c r="G627" s="1" t="str">
        <f t="shared" si="37"/>
        <v/>
      </c>
      <c r="H627" s="1" t="str">
        <f t="shared" si="38"/>
        <v/>
      </c>
      <c r="I627" s="1" t="str">
        <f>IF($L627="","",INDEX(Ref_AccountRules,$L627,3))</f>
        <v/>
      </c>
      <c r="J627" s="1" t="str">
        <f>IF($L627="","",INDEX(Ref_AccountRules,$L627,4))</f>
        <v/>
      </c>
      <c r="K627" s="1" t="str">
        <f>IF($L627="","",INDEX(Ref_AccountRules,$L627,5))</f>
        <v/>
      </c>
      <c r="L627" s="1" t="str">
        <f t="shared" si="39"/>
        <v/>
      </c>
    </row>
    <row r="628" spans="2:12" x14ac:dyDescent="0.35">
      <c r="B628" s="12"/>
      <c r="C628" s="11"/>
      <c r="D628" s="11"/>
      <c r="E628" s="11"/>
      <c r="F628" s="1" t="str">
        <f t="shared" si="36"/>
        <v/>
      </c>
      <c r="G628" s="1" t="str">
        <f t="shared" si="37"/>
        <v/>
      </c>
      <c r="H628" s="1" t="str">
        <f t="shared" si="38"/>
        <v/>
      </c>
      <c r="I628" s="1" t="str">
        <f>IF($L628="","",INDEX(Ref_AccountRules,$L628,3))</f>
        <v/>
      </c>
      <c r="J628" s="1" t="str">
        <f>IF($L628="","",INDEX(Ref_AccountRules,$L628,4))</f>
        <v/>
      </c>
      <c r="K628" s="1" t="str">
        <f>IF($L628="","",INDEX(Ref_AccountRules,$L628,5))</f>
        <v/>
      </c>
      <c r="L628" s="1" t="str">
        <f t="shared" si="39"/>
        <v/>
      </c>
    </row>
    <row r="629" spans="2:12" x14ac:dyDescent="0.35">
      <c r="B629" s="12"/>
      <c r="C629" s="11"/>
      <c r="D629" s="11"/>
      <c r="E629" s="11"/>
      <c r="F629" s="1" t="str">
        <f t="shared" si="36"/>
        <v/>
      </c>
      <c r="G629" s="1" t="str">
        <f t="shared" si="37"/>
        <v/>
      </c>
      <c r="H629" s="1" t="str">
        <f t="shared" si="38"/>
        <v/>
      </c>
      <c r="I629" s="1" t="str">
        <f>IF($L629="","",INDEX(Ref_AccountRules,$L629,3))</f>
        <v/>
      </c>
      <c r="J629" s="1" t="str">
        <f>IF($L629="","",INDEX(Ref_AccountRules,$L629,4))</f>
        <v/>
      </c>
      <c r="K629" s="1" t="str">
        <f>IF($L629="","",INDEX(Ref_AccountRules,$L629,5))</f>
        <v/>
      </c>
      <c r="L629" s="1" t="str">
        <f t="shared" si="39"/>
        <v/>
      </c>
    </row>
    <row r="630" spans="2:12" x14ac:dyDescent="0.35">
      <c r="B630" s="12"/>
      <c r="C630" s="11"/>
      <c r="D630" s="11"/>
      <c r="E630" s="11"/>
      <c r="F630" s="1" t="str">
        <f t="shared" si="36"/>
        <v/>
      </c>
      <c r="G630" s="1" t="str">
        <f t="shared" si="37"/>
        <v/>
      </c>
      <c r="H630" s="1" t="str">
        <f t="shared" si="38"/>
        <v/>
      </c>
      <c r="I630" s="1" t="str">
        <f>IF($L630="","",INDEX(Ref_AccountRules,$L630,3))</f>
        <v/>
      </c>
      <c r="J630" s="1" t="str">
        <f>IF($L630="","",INDEX(Ref_AccountRules,$L630,4))</f>
        <v/>
      </c>
      <c r="K630" s="1" t="str">
        <f>IF($L630="","",INDEX(Ref_AccountRules,$L630,5))</f>
        <v/>
      </c>
      <c r="L630" s="1" t="str">
        <f t="shared" si="39"/>
        <v/>
      </c>
    </row>
    <row r="631" spans="2:12" x14ac:dyDescent="0.35">
      <c r="B631" s="12"/>
      <c r="C631" s="11"/>
      <c r="D631" s="11"/>
      <c r="E631" s="11"/>
      <c r="F631" s="1" t="str">
        <f t="shared" si="36"/>
        <v/>
      </c>
      <c r="G631" s="1" t="str">
        <f t="shared" si="37"/>
        <v/>
      </c>
      <c r="H631" s="1" t="str">
        <f t="shared" si="38"/>
        <v/>
      </c>
      <c r="I631" s="1" t="str">
        <f>IF($L631="","",INDEX(Ref_AccountRules,$L631,3))</f>
        <v/>
      </c>
      <c r="J631" s="1" t="str">
        <f>IF($L631="","",INDEX(Ref_AccountRules,$L631,4))</f>
        <v/>
      </c>
      <c r="K631" s="1" t="str">
        <f>IF($L631="","",INDEX(Ref_AccountRules,$L631,5))</f>
        <v/>
      </c>
      <c r="L631" s="1" t="str">
        <f t="shared" si="39"/>
        <v/>
      </c>
    </row>
    <row r="632" spans="2:12" x14ac:dyDescent="0.35">
      <c r="B632" s="12"/>
      <c r="C632" s="11"/>
      <c r="D632" s="11"/>
      <c r="E632" s="11"/>
      <c r="F632" s="1" t="str">
        <f t="shared" si="36"/>
        <v/>
      </c>
      <c r="G632" s="1" t="str">
        <f t="shared" si="37"/>
        <v/>
      </c>
      <c r="H632" s="1" t="str">
        <f t="shared" si="38"/>
        <v/>
      </c>
      <c r="I632" s="1" t="str">
        <f>IF($L632="","",INDEX(Ref_AccountRules,$L632,3))</f>
        <v/>
      </c>
      <c r="J632" s="1" t="str">
        <f>IF($L632="","",INDEX(Ref_AccountRules,$L632,4))</f>
        <v/>
      </c>
      <c r="K632" s="1" t="str">
        <f>IF($L632="","",INDEX(Ref_AccountRules,$L632,5))</f>
        <v/>
      </c>
      <c r="L632" s="1" t="str">
        <f t="shared" si="39"/>
        <v/>
      </c>
    </row>
    <row r="633" spans="2:12" x14ac:dyDescent="0.35">
      <c r="B633" s="12"/>
      <c r="C633" s="11"/>
      <c r="D633" s="11"/>
      <c r="E633" s="11"/>
      <c r="F633" s="1" t="str">
        <f t="shared" si="36"/>
        <v/>
      </c>
      <c r="G633" s="1" t="str">
        <f t="shared" si="37"/>
        <v/>
      </c>
      <c r="H633" s="1" t="str">
        <f t="shared" si="38"/>
        <v/>
      </c>
      <c r="I633" s="1" t="str">
        <f>IF($L633="","",INDEX(Ref_AccountRules,$L633,3))</f>
        <v/>
      </c>
      <c r="J633" s="1" t="str">
        <f>IF($L633="","",INDEX(Ref_AccountRules,$L633,4))</f>
        <v/>
      </c>
      <c r="K633" s="1" t="str">
        <f>IF($L633="","",INDEX(Ref_AccountRules,$L633,5))</f>
        <v/>
      </c>
      <c r="L633" s="1" t="str">
        <f t="shared" si="39"/>
        <v/>
      </c>
    </row>
    <row r="634" spans="2:12" x14ac:dyDescent="0.35">
      <c r="B634" s="12"/>
      <c r="C634" s="11"/>
      <c r="D634" s="11"/>
      <c r="E634" s="11"/>
      <c r="F634" s="1" t="str">
        <f t="shared" si="36"/>
        <v/>
      </c>
      <c r="G634" s="1" t="str">
        <f t="shared" si="37"/>
        <v/>
      </c>
      <c r="H634" s="1" t="str">
        <f t="shared" si="38"/>
        <v/>
      </c>
      <c r="I634" s="1" t="str">
        <f>IF($L634="","",INDEX(Ref_AccountRules,$L634,3))</f>
        <v/>
      </c>
      <c r="J634" s="1" t="str">
        <f>IF($L634="","",INDEX(Ref_AccountRules,$L634,4))</f>
        <v/>
      </c>
      <c r="K634" s="1" t="str">
        <f>IF($L634="","",INDEX(Ref_AccountRules,$L634,5))</f>
        <v/>
      </c>
      <c r="L634" s="1" t="str">
        <f t="shared" si="39"/>
        <v/>
      </c>
    </row>
    <row r="635" spans="2:12" x14ac:dyDescent="0.35">
      <c r="B635" s="12"/>
      <c r="C635" s="11"/>
      <c r="D635" s="11"/>
      <c r="E635" s="11"/>
      <c r="F635" s="1" t="str">
        <f t="shared" si="36"/>
        <v/>
      </c>
      <c r="G635" s="1" t="str">
        <f t="shared" si="37"/>
        <v/>
      </c>
      <c r="H635" s="1" t="str">
        <f t="shared" si="38"/>
        <v/>
      </c>
      <c r="I635" s="1" t="str">
        <f>IF($L635="","",INDEX(Ref_AccountRules,$L635,3))</f>
        <v/>
      </c>
      <c r="J635" s="1" t="str">
        <f>IF($L635="","",INDEX(Ref_AccountRules,$L635,4))</f>
        <v/>
      </c>
      <c r="K635" s="1" t="str">
        <f>IF($L635="","",INDEX(Ref_AccountRules,$L635,5))</f>
        <v/>
      </c>
      <c r="L635" s="1" t="str">
        <f t="shared" si="39"/>
        <v/>
      </c>
    </row>
    <row r="636" spans="2:12" x14ac:dyDescent="0.35">
      <c r="B636" s="12"/>
      <c r="C636" s="11"/>
      <c r="D636" s="11"/>
      <c r="E636" s="11"/>
      <c r="F636" s="1" t="str">
        <f t="shared" si="36"/>
        <v/>
      </c>
      <c r="G636" s="1" t="str">
        <f t="shared" si="37"/>
        <v/>
      </c>
      <c r="H636" s="1" t="str">
        <f t="shared" si="38"/>
        <v/>
      </c>
      <c r="I636" s="1" t="str">
        <f>IF($L636="","",INDEX(Ref_AccountRules,$L636,3))</f>
        <v/>
      </c>
      <c r="J636" s="1" t="str">
        <f>IF($L636="","",INDEX(Ref_AccountRules,$L636,4))</f>
        <v/>
      </c>
      <c r="K636" s="1" t="str">
        <f>IF($L636="","",INDEX(Ref_AccountRules,$L636,5))</f>
        <v/>
      </c>
      <c r="L636" s="1" t="str">
        <f t="shared" si="39"/>
        <v/>
      </c>
    </row>
    <row r="637" spans="2:12" x14ac:dyDescent="0.35">
      <c r="B637" s="12"/>
      <c r="C637" s="11"/>
      <c r="D637" s="11"/>
      <c r="E637" s="11"/>
      <c r="F637" s="1" t="str">
        <f t="shared" si="36"/>
        <v/>
      </c>
      <c r="G637" s="1" t="str">
        <f t="shared" si="37"/>
        <v/>
      </c>
      <c r="H637" s="1" t="str">
        <f t="shared" si="38"/>
        <v/>
      </c>
      <c r="I637" s="1" t="str">
        <f>IF($L637="","",INDEX(Ref_AccountRules,$L637,3))</f>
        <v/>
      </c>
      <c r="J637" s="1" t="str">
        <f>IF($L637="","",INDEX(Ref_AccountRules,$L637,4))</f>
        <v/>
      </c>
      <c r="K637" s="1" t="str">
        <f>IF($L637="","",INDEX(Ref_AccountRules,$L637,5))</f>
        <v/>
      </c>
      <c r="L637" s="1" t="str">
        <f t="shared" si="39"/>
        <v/>
      </c>
    </row>
    <row r="638" spans="2:12" x14ac:dyDescent="0.35">
      <c r="B638" s="12"/>
      <c r="C638" s="11"/>
      <c r="D638" s="11"/>
      <c r="E638" s="11"/>
      <c r="F638" s="1" t="str">
        <f t="shared" si="36"/>
        <v/>
      </c>
      <c r="G638" s="1" t="str">
        <f t="shared" si="37"/>
        <v/>
      </c>
      <c r="H638" s="1" t="str">
        <f t="shared" si="38"/>
        <v/>
      </c>
      <c r="I638" s="1" t="str">
        <f>IF($L638="","",INDEX(Ref_AccountRules,$L638,3))</f>
        <v/>
      </c>
      <c r="J638" s="1" t="str">
        <f>IF($L638="","",INDEX(Ref_AccountRules,$L638,4))</f>
        <v/>
      </c>
      <c r="K638" s="1" t="str">
        <f>IF($L638="","",INDEX(Ref_AccountRules,$L638,5))</f>
        <v/>
      </c>
      <c r="L638" s="1" t="str">
        <f t="shared" si="39"/>
        <v/>
      </c>
    </row>
    <row r="639" spans="2:12" x14ac:dyDescent="0.35">
      <c r="B639" s="12"/>
      <c r="C639" s="11"/>
      <c r="D639" s="11"/>
      <c r="E639" s="11"/>
      <c r="F639" s="1" t="str">
        <f t="shared" si="36"/>
        <v/>
      </c>
      <c r="G639" s="1" t="str">
        <f t="shared" si="37"/>
        <v/>
      </c>
      <c r="H639" s="1" t="str">
        <f t="shared" si="38"/>
        <v/>
      </c>
      <c r="I639" s="1" t="str">
        <f>IF($L639="","",INDEX(Ref_AccountRules,$L639,3))</f>
        <v/>
      </c>
      <c r="J639" s="1" t="str">
        <f>IF($L639="","",INDEX(Ref_AccountRules,$L639,4))</f>
        <v/>
      </c>
      <c r="K639" s="1" t="str">
        <f>IF($L639="","",INDEX(Ref_AccountRules,$L639,5))</f>
        <v/>
      </c>
      <c r="L639" s="1" t="str">
        <f t="shared" si="39"/>
        <v/>
      </c>
    </row>
    <row r="640" spans="2:12" x14ac:dyDescent="0.35">
      <c r="B640" s="12"/>
      <c r="C640" s="11"/>
      <c r="D640" s="11"/>
      <c r="E640" s="11"/>
      <c r="F640" s="1" t="str">
        <f t="shared" si="36"/>
        <v/>
      </c>
      <c r="G640" s="1" t="str">
        <f t="shared" si="37"/>
        <v/>
      </c>
      <c r="H640" s="1" t="str">
        <f t="shared" si="38"/>
        <v/>
      </c>
      <c r="I640" s="1" t="str">
        <f>IF($L640="","",INDEX(Ref_AccountRules,$L640,3))</f>
        <v/>
      </c>
      <c r="J640" s="1" t="str">
        <f>IF($L640="","",INDEX(Ref_AccountRules,$L640,4))</f>
        <v/>
      </c>
      <c r="K640" s="1" t="str">
        <f>IF($L640="","",INDEX(Ref_AccountRules,$L640,5))</f>
        <v/>
      </c>
      <c r="L640" s="1" t="str">
        <f t="shared" si="39"/>
        <v/>
      </c>
    </row>
    <row r="641" spans="2:12" x14ac:dyDescent="0.35">
      <c r="B641" s="12"/>
      <c r="C641" s="11"/>
      <c r="D641" s="11"/>
      <c r="E641" s="11"/>
      <c r="F641" s="1" t="str">
        <f t="shared" si="36"/>
        <v/>
      </c>
      <c r="G641" s="1" t="str">
        <f t="shared" si="37"/>
        <v/>
      </c>
      <c r="H641" s="1" t="str">
        <f t="shared" si="38"/>
        <v/>
      </c>
      <c r="I641" s="1" t="str">
        <f>IF($L641="","",INDEX(Ref_AccountRules,$L641,3))</f>
        <v/>
      </c>
      <c r="J641" s="1" t="str">
        <f>IF($L641="","",INDEX(Ref_AccountRules,$L641,4))</f>
        <v/>
      </c>
      <c r="K641" s="1" t="str">
        <f>IF($L641="","",INDEX(Ref_AccountRules,$L641,5))</f>
        <v/>
      </c>
      <c r="L641" s="1" t="str">
        <f t="shared" si="39"/>
        <v/>
      </c>
    </row>
    <row r="642" spans="2:12" x14ac:dyDescent="0.35">
      <c r="B642" s="12"/>
      <c r="C642" s="11"/>
      <c r="D642" s="11"/>
      <c r="E642" s="11"/>
      <c r="F642" s="1" t="str">
        <f t="shared" si="36"/>
        <v/>
      </c>
      <c r="G642" s="1" t="str">
        <f t="shared" si="37"/>
        <v/>
      </c>
      <c r="H642" s="1" t="str">
        <f t="shared" si="38"/>
        <v/>
      </c>
      <c r="I642" s="1" t="str">
        <f>IF($L642="","",INDEX(Ref_AccountRules,$L642,3))</f>
        <v/>
      </c>
      <c r="J642" s="1" t="str">
        <f>IF($L642="","",INDEX(Ref_AccountRules,$L642,4))</f>
        <v/>
      </c>
      <c r="K642" s="1" t="str">
        <f>IF($L642="","",INDEX(Ref_AccountRules,$L642,5))</f>
        <v/>
      </c>
      <c r="L642" s="1" t="str">
        <f t="shared" si="39"/>
        <v/>
      </c>
    </row>
    <row r="643" spans="2:12" x14ac:dyDescent="0.35">
      <c r="B643" s="12"/>
      <c r="C643" s="11"/>
      <c r="D643" s="11"/>
      <c r="E643" s="11"/>
      <c r="F643" s="1" t="str">
        <f t="shared" si="36"/>
        <v/>
      </c>
      <c r="G643" s="1" t="str">
        <f t="shared" si="37"/>
        <v/>
      </c>
      <c r="H643" s="1" t="str">
        <f t="shared" si="38"/>
        <v/>
      </c>
      <c r="I643" s="1" t="str">
        <f>IF($L643="","",INDEX(Ref_AccountRules,$L643,3))</f>
        <v/>
      </c>
      <c r="J643" s="1" t="str">
        <f>IF($L643="","",INDEX(Ref_AccountRules,$L643,4))</f>
        <v/>
      </c>
      <c r="K643" s="1" t="str">
        <f>IF($L643="","",INDEX(Ref_AccountRules,$L643,5))</f>
        <v/>
      </c>
      <c r="L643" s="1" t="str">
        <f t="shared" si="39"/>
        <v/>
      </c>
    </row>
    <row r="644" spans="2:12" x14ac:dyDescent="0.35">
      <c r="B644" s="12"/>
      <c r="C644" s="11"/>
      <c r="D644" s="11"/>
      <c r="E644" s="11"/>
      <c r="F644" s="1" t="str">
        <f t="shared" si="36"/>
        <v/>
      </c>
      <c r="G644" s="1" t="str">
        <f t="shared" si="37"/>
        <v/>
      </c>
      <c r="H644" s="1" t="str">
        <f t="shared" si="38"/>
        <v/>
      </c>
      <c r="I644" s="1" t="str">
        <f>IF($L644="","",INDEX(Ref_AccountRules,$L644,3))</f>
        <v/>
      </c>
      <c r="J644" s="1" t="str">
        <f>IF($L644="","",INDEX(Ref_AccountRules,$L644,4))</f>
        <v/>
      </c>
      <c r="K644" s="1" t="str">
        <f>IF($L644="","",INDEX(Ref_AccountRules,$L644,5))</f>
        <v/>
      </c>
      <c r="L644" s="1" t="str">
        <f t="shared" si="39"/>
        <v/>
      </c>
    </row>
    <row r="645" spans="2:12" x14ac:dyDescent="0.35">
      <c r="B645" s="12"/>
      <c r="C645" s="11"/>
      <c r="D645" s="11"/>
      <c r="E645" s="11"/>
      <c r="F645" s="1" t="str">
        <f t="shared" si="36"/>
        <v/>
      </c>
      <c r="G645" s="1" t="str">
        <f t="shared" si="37"/>
        <v/>
      </c>
      <c r="H645" s="1" t="str">
        <f t="shared" si="38"/>
        <v/>
      </c>
      <c r="I645" s="1" t="str">
        <f>IF($L645="","",INDEX(Ref_AccountRules,$L645,3))</f>
        <v/>
      </c>
      <c r="J645" s="1" t="str">
        <f>IF($L645="","",INDEX(Ref_AccountRules,$L645,4))</f>
        <v/>
      </c>
      <c r="K645" s="1" t="str">
        <f>IF($L645="","",INDEX(Ref_AccountRules,$L645,5))</f>
        <v/>
      </c>
      <c r="L645" s="1" t="str">
        <f t="shared" si="39"/>
        <v/>
      </c>
    </row>
    <row r="646" spans="2:12" x14ac:dyDescent="0.35">
      <c r="B646" s="12"/>
      <c r="C646" s="11"/>
      <c r="D646" s="11"/>
      <c r="E646" s="11"/>
      <c r="F646" s="1" t="str">
        <f t="shared" si="36"/>
        <v/>
      </c>
      <c r="G646" s="1" t="str">
        <f t="shared" si="37"/>
        <v/>
      </c>
      <c r="H646" s="1" t="str">
        <f t="shared" si="38"/>
        <v/>
      </c>
      <c r="I646" s="1" t="str">
        <f>IF($L646="","",INDEX(Ref_AccountRules,$L646,3))</f>
        <v/>
      </c>
      <c r="J646" s="1" t="str">
        <f>IF($L646="","",INDEX(Ref_AccountRules,$L646,4))</f>
        <v/>
      </c>
      <c r="K646" s="1" t="str">
        <f>IF($L646="","",INDEX(Ref_AccountRules,$L646,5))</f>
        <v/>
      </c>
      <c r="L646" s="1" t="str">
        <f t="shared" si="39"/>
        <v/>
      </c>
    </row>
    <row r="647" spans="2:12" x14ac:dyDescent="0.35">
      <c r="B647" s="12"/>
      <c r="C647" s="11"/>
      <c r="D647" s="11"/>
      <c r="E647" s="11"/>
      <c r="F647" s="1" t="str">
        <f t="shared" si="36"/>
        <v/>
      </c>
      <c r="G647" s="1" t="str">
        <f t="shared" si="37"/>
        <v/>
      </c>
      <c r="H647" s="1" t="str">
        <f t="shared" si="38"/>
        <v/>
      </c>
      <c r="I647" s="1" t="str">
        <f>IF($L647="","",INDEX(Ref_AccountRules,$L647,3))</f>
        <v/>
      </c>
      <c r="J647" s="1" t="str">
        <f>IF($L647="","",INDEX(Ref_AccountRules,$L647,4))</f>
        <v/>
      </c>
      <c r="K647" s="1" t="str">
        <f>IF($L647="","",INDEX(Ref_AccountRules,$L647,5))</f>
        <v/>
      </c>
      <c r="L647" s="1" t="str">
        <f t="shared" si="39"/>
        <v/>
      </c>
    </row>
    <row r="648" spans="2:12" x14ac:dyDescent="0.35">
      <c r="B648" s="12"/>
      <c r="C648" s="11"/>
      <c r="D648" s="11"/>
      <c r="E648" s="11"/>
      <c r="F648" s="1" t="str">
        <f t="shared" si="36"/>
        <v/>
      </c>
      <c r="G648" s="1" t="str">
        <f t="shared" si="37"/>
        <v/>
      </c>
      <c r="H648" s="1" t="str">
        <f t="shared" si="38"/>
        <v/>
      </c>
      <c r="I648" s="1" t="str">
        <f>IF($L648="","",INDEX(Ref_AccountRules,$L648,3))</f>
        <v/>
      </c>
      <c r="J648" s="1" t="str">
        <f>IF($L648="","",INDEX(Ref_AccountRules,$L648,4))</f>
        <v/>
      </c>
      <c r="K648" s="1" t="str">
        <f>IF($L648="","",INDEX(Ref_AccountRules,$L648,5))</f>
        <v/>
      </c>
      <c r="L648" s="1" t="str">
        <f t="shared" si="39"/>
        <v/>
      </c>
    </row>
    <row r="649" spans="2:12" x14ac:dyDescent="0.35">
      <c r="B649" s="12"/>
      <c r="C649" s="11"/>
      <c r="D649" s="11"/>
      <c r="E649" s="11"/>
      <c r="F649" s="1" t="str">
        <f t="shared" si="36"/>
        <v/>
      </c>
      <c r="G649" s="1" t="str">
        <f t="shared" si="37"/>
        <v/>
      </c>
      <c r="H649" s="1" t="str">
        <f t="shared" si="38"/>
        <v/>
      </c>
      <c r="I649" s="1" t="str">
        <f>IF($L649="","",INDEX(Ref_AccountRules,$L649,3))</f>
        <v/>
      </c>
      <c r="J649" s="1" t="str">
        <f>IF($L649="","",INDEX(Ref_AccountRules,$L649,4))</f>
        <v/>
      </c>
      <c r="K649" s="1" t="str">
        <f>IF($L649="","",INDEX(Ref_AccountRules,$L649,5))</f>
        <v/>
      </c>
      <c r="L649" s="1" t="str">
        <f t="shared" si="39"/>
        <v/>
      </c>
    </row>
    <row r="650" spans="2:12" x14ac:dyDescent="0.35">
      <c r="B650" s="12"/>
      <c r="C650" s="11"/>
      <c r="D650" s="11"/>
      <c r="E650" s="11"/>
      <c r="F650" s="1" t="str">
        <f t="shared" si="36"/>
        <v/>
      </c>
      <c r="G650" s="1" t="str">
        <f t="shared" si="37"/>
        <v/>
      </c>
      <c r="H650" s="1" t="str">
        <f t="shared" si="38"/>
        <v/>
      </c>
      <c r="I650" s="1" t="str">
        <f>IF($L650="","",INDEX(Ref_AccountRules,$L650,3))</f>
        <v/>
      </c>
      <c r="J650" s="1" t="str">
        <f>IF($L650="","",INDEX(Ref_AccountRules,$L650,4))</f>
        <v/>
      </c>
      <c r="K650" s="1" t="str">
        <f>IF($L650="","",INDEX(Ref_AccountRules,$L650,5))</f>
        <v/>
      </c>
      <c r="L650" s="1" t="str">
        <f t="shared" si="39"/>
        <v/>
      </c>
    </row>
    <row r="651" spans="2:12" x14ac:dyDescent="0.35">
      <c r="B651" s="12"/>
      <c r="C651" s="11"/>
      <c r="D651" s="11"/>
      <c r="E651" s="11"/>
      <c r="F651" s="1" t="str">
        <f t="shared" ref="F651:F714" si="40">IF($B651="","",E651-D651)</f>
        <v/>
      </c>
      <c r="G651" s="1" t="str">
        <f t="shared" ref="G651:G714" si="41">IF($B651="","",IF(D651=0,0,(E651-D651)/ABS(D651)*100))</f>
        <v/>
      </c>
      <c r="H651" s="1" t="str">
        <f t="shared" ref="H651:H714" si="42">IF($B651="","",IF(LEFT($B651,6)="606880","emballages",IF(LEFT($B651,4)="6068","emballages",IF(LEFT($B651,3)="606","energie_dechets",IF(LEFT($B651,3)="164","tresorerie_financement",IF(LEFT($B651,2)="20","immobilisations",IF(LEFT($B651,2)="21","immobilisations",IF(LEFT($B651,2)="22","immobilisations",IF(LEFT($B651,2)="23","immobilisations",IF(LEFT($B651,2)="28","immobilisations",IF(LEFT($B651,2)="40","fournisseurs",IF(LEFT($B651,2)="41","clients",IF(LEFT($B651,2)="32","stocks",IF(LEFT($B651,2)="60","charges",IF(LEFT($B651,2)="61","services",IF(LEFT($B651,2)="62","personnel",IF(LEFT($B651,2)="63","fiscal",IF(LEFT($B651,2)="64","financier","autres"))))))))))))))))))</f>
        <v/>
      </c>
      <c r="I651" s="1" t="str">
        <f>IF($L651="","",INDEX(Ref_AccountRules,$L651,3))</f>
        <v/>
      </c>
      <c r="J651" s="1" t="str">
        <f>IF($L651="","",INDEX(Ref_AccountRules,$L651,4))</f>
        <v/>
      </c>
      <c r="K651" s="1" t="str">
        <f>IF($L651="","",INDEX(Ref_AccountRules,$L651,5))</f>
        <v/>
      </c>
      <c r="L651" s="1" t="str">
        <f t="shared" ref="L651:L714" si="43">IF($B651="","",IF(LEFT($B651,3)="215",1,IF(LEFT($B651,4)="2183",2,IF(LEFT($B651,3)="401",3,IF(LEFT($B651,3)="411",4,IF(LEFT($B651,3)="322",5,IF(LEFT($B651,4)="3220",6,IF(LEFT($B651,5)="32200",7,IF(LEFT($B651,3)="625",8,IF(LEFT($B651,3)="606",9,IF(LEFT($B651,3)="164",10,IF(LEFT($B651,6)="606880",11,""))))))))))))</f>
        <v/>
      </c>
    </row>
    <row r="652" spans="2:12" x14ac:dyDescent="0.35">
      <c r="B652" s="12"/>
      <c r="C652" s="11"/>
      <c r="D652" s="11"/>
      <c r="E652" s="11"/>
      <c r="F652" s="1" t="str">
        <f t="shared" si="40"/>
        <v/>
      </c>
      <c r="G652" s="1" t="str">
        <f t="shared" si="41"/>
        <v/>
      </c>
      <c r="H652" s="1" t="str">
        <f t="shared" si="42"/>
        <v/>
      </c>
      <c r="I652" s="1" t="str">
        <f>IF($L652="","",INDEX(Ref_AccountRules,$L652,3))</f>
        <v/>
      </c>
      <c r="J652" s="1" t="str">
        <f>IF($L652="","",INDEX(Ref_AccountRules,$L652,4))</f>
        <v/>
      </c>
      <c r="K652" s="1" t="str">
        <f>IF($L652="","",INDEX(Ref_AccountRules,$L652,5))</f>
        <v/>
      </c>
      <c r="L652" s="1" t="str">
        <f t="shared" si="43"/>
        <v/>
      </c>
    </row>
    <row r="653" spans="2:12" x14ac:dyDescent="0.35">
      <c r="B653" s="12"/>
      <c r="C653" s="11"/>
      <c r="D653" s="11"/>
      <c r="E653" s="11"/>
      <c r="F653" s="1" t="str">
        <f t="shared" si="40"/>
        <v/>
      </c>
      <c r="G653" s="1" t="str">
        <f t="shared" si="41"/>
        <v/>
      </c>
      <c r="H653" s="1" t="str">
        <f t="shared" si="42"/>
        <v/>
      </c>
      <c r="I653" s="1" t="str">
        <f>IF($L653="","",INDEX(Ref_AccountRules,$L653,3))</f>
        <v/>
      </c>
      <c r="J653" s="1" t="str">
        <f>IF($L653="","",INDEX(Ref_AccountRules,$L653,4))</f>
        <v/>
      </c>
      <c r="K653" s="1" t="str">
        <f>IF($L653="","",INDEX(Ref_AccountRules,$L653,5))</f>
        <v/>
      </c>
      <c r="L653" s="1" t="str">
        <f t="shared" si="43"/>
        <v/>
      </c>
    </row>
    <row r="654" spans="2:12" x14ac:dyDescent="0.35">
      <c r="B654" s="12"/>
      <c r="C654" s="11"/>
      <c r="D654" s="11"/>
      <c r="E654" s="11"/>
      <c r="F654" s="1" t="str">
        <f t="shared" si="40"/>
        <v/>
      </c>
      <c r="G654" s="1" t="str">
        <f t="shared" si="41"/>
        <v/>
      </c>
      <c r="H654" s="1" t="str">
        <f t="shared" si="42"/>
        <v/>
      </c>
      <c r="I654" s="1" t="str">
        <f>IF($L654="","",INDEX(Ref_AccountRules,$L654,3))</f>
        <v/>
      </c>
      <c r="J654" s="1" t="str">
        <f>IF($L654="","",INDEX(Ref_AccountRules,$L654,4))</f>
        <v/>
      </c>
      <c r="K654" s="1" t="str">
        <f>IF($L654="","",INDEX(Ref_AccountRules,$L654,5))</f>
        <v/>
      </c>
      <c r="L654" s="1" t="str">
        <f t="shared" si="43"/>
        <v/>
      </c>
    </row>
    <row r="655" spans="2:12" x14ac:dyDescent="0.35">
      <c r="B655" s="12"/>
      <c r="C655" s="11"/>
      <c r="D655" s="11"/>
      <c r="E655" s="11"/>
      <c r="F655" s="1" t="str">
        <f t="shared" si="40"/>
        <v/>
      </c>
      <c r="G655" s="1" t="str">
        <f t="shared" si="41"/>
        <v/>
      </c>
      <c r="H655" s="1" t="str">
        <f t="shared" si="42"/>
        <v/>
      </c>
      <c r="I655" s="1" t="str">
        <f>IF($L655="","",INDEX(Ref_AccountRules,$L655,3))</f>
        <v/>
      </c>
      <c r="J655" s="1" t="str">
        <f>IF($L655="","",INDEX(Ref_AccountRules,$L655,4))</f>
        <v/>
      </c>
      <c r="K655" s="1" t="str">
        <f>IF($L655="","",INDEX(Ref_AccountRules,$L655,5))</f>
        <v/>
      </c>
      <c r="L655" s="1" t="str">
        <f t="shared" si="43"/>
        <v/>
      </c>
    </row>
    <row r="656" spans="2:12" x14ac:dyDescent="0.35">
      <c r="B656" s="12"/>
      <c r="C656" s="11"/>
      <c r="D656" s="11"/>
      <c r="E656" s="11"/>
      <c r="F656" s="1" t="str">
        <f t="shared" si="40"/>
        <v/>
      </c>
      <c r="G656" s="1" t="str">
        <f t="shared" si="41"/>
        <v/>
      </c>
      <c r="H656" s="1" t="str">
        <f t="shared" si="42"/>
        <v/>
      </c>
      <c r="I656" s="1" t="str">
        <f>IF($L656="","",INDEX(Ref_AccountRules,$L656,3))</f>
        <v/>
      </c>
      <c r="J656" s="1" t="str">
        <f>IF($L656="","",INDEX(Ref_AccountRules,$L656,4))</f>
        <v/>
      </c>
      <c r="K656" s="1" t="str">
        <f>IF($L656="","",INDEX(Ref_AccountRules,$L656,5))</f>
        <v/>
      </c>
      <c r="L656" s="1" t="str">
        <f t="shared" si="43"/>
        <v/>
      </c>
    </row>
    <row r="657" spans="2:12" x14ac:dyDescent="0.35">
      <c r="B657" s="12"/>
      <c r="C657" s="11"/>
      <c r="D657" s="11"/>
      <c r="E657" s="11"/>
      <c r="F657" s="1" t="str">
        <f t="shared" si="40"/>
        <v/>
      </c>
      <c r="G657" s="1" t="str">
        <f t="shared" si="41"/>
        <v/>
      </c>
      <c r="H657" s="1" t="str">
        <f t="shared" si="42"/>
        <v/>
      </c>
      <c r="I657" s="1" t="str">
        <f>IF($L657="","",INDEX(Ref_AccountRules,$L657,3))</f>
        <v/>
      </c>
      <c r="J657" s="1" t="str">
        <f>IF($L657="","",INDEX(Ref_AccountRules,$L657,4))</f>
        <v/>
      </c>
      <c r="K657" s="1" t="str">
        <f>IF($L657="","",INDEX(Ref_AccountRules,$L657,5))</f>
        <v/>
      </c>
      <c r="L657" s="1" t="str">
        <f t="shared" si="43"/>
        <v/>
      </c>
    </row>
    <row r="658" spans="2:12" x14ac:dyDescent="0.35">
      <c r="B658" s="12"/>
      <c r="C658" s="11"/>
      <c r="D658" s="11"/>
      <c r="E658" s="11"/>
      <c r="F658" s="1" t="str">
        <f t="shared" si="40"/>
        <v/>
      </c>
      <c r="G658" s="1" t="str">
        <f t="shared" si="41"/>
        <v/>
      </c>
      <c r="H658" s="1" t="str">
        <f t="shared" si="42"/>
        <v/>
      </c>
      <c r="I658" s="1" t="str">
        <f>IF($L658="","",INDEX(Ref_AccountRules,$L658,3))</f>
        <v/>
      </c>
      <c r="J658" s="1" t="str">
        <f>IF($L658="","",INDEX(Ref_AccountRules,$L658,4))</f>
        <v/>
      </c>
      <c r="K658" s="1" t="str">
        <f>IF($L658="","",INDEX(Ref_AccountRules,$L658,5))</f>
        <v/>
      </c>
      <c r="L658" s="1" t="str">
        <f t="shared" si="43"/>
        <v/>
      </c>
    </row>
    <row r="659" spans="2:12" x14ac:dyDescent="0.35">
      <c r="B659" s="12"/>
      <c r="C659" s="11"/>
      <c r="D659" s="11"/>
      <c r="E659" s="11"/>
      <c r="F659" s="1" t="str">
        <f t="shared" si="40"/>
        <v/>
      </c>
      <c r="G659" s="1" t="str">
        <f t="shared" si="41"/>
        <v/>
      </c>
      <c r="H659" s="1" t="str">
        <f t="shared" si="42"/>
        <v/>
      </c>
      <c r="I659" s="1" t="str">
        <f>IF($L659="","",INDEX(Ref_AccountRules,$L659,3))</f>
        <v/>
      </c>
      <c r="J659" s="1" t="str">
        <f>IF($L659="","",INDEX(Ref_AccountRules,$L659,4))</f>
        <v/>
      </c>
      <c r="K659" s="1" t="str">
        <f>IF($L659="","",INDEX(Ref_AccountRules,$L659,5))</f>
        <v/>
      </c>
      <c r="L659" s="1" t="str">
        <f t="shared" si="43"/>
        <v/>
      </c>
    </row>
    <row r="660" spans="2:12" x14ac:dyDescent="0.35">
      <c r="B660" s="12"/>
      <c r="C660" s="11"/>
      <c r="D660" s="11"/>
      <c r="E660" s="11"/>
      <c r="F660" s="1" t="str">
        <f t="shared" si="40"/>
        <v/>
      </c>
      <c r="G660" s="1" t="str">
        <f t="shared" si="41"/>
        <v/>
      </c>
      <c r="H660" s="1" t="str">
        <f t="shared" si="42"/>
        <v/>
      </c>
      <c r="I660" s="1" t="str">
        <f>IF($L660="","",INDEX(Ref_AccountRules,$L660,3))</f>
        <v/>
      </c>
      <c r="J660" s="1" t="str">
        <f>IF($L660="","",INDEX(Ref_AccountRules,$L660,4))</f>
        <v/>
      </c>
      <c r="K660" s="1" t="str">
        <f>IF($L660="","",INDEX(Ref_AccountRules,$L660,5))</f>
        <v/>
      </c>
      <c r="L660" s="1" t="str">
        <f t="shared" si="43"/>
        <v/>
      </c>
    </row>
    <row r="661" spans="2:12" x14ac:dyDescent="0.35">
      <c r="B661" s="12"/>
      <c r="C661" s="11"/>
      <c r="D661" s="11"/>
      <c r="E661" s="11"/>
      <c r="F661" s="1" t="str">
        <f t="shared" si="40"/>
        <v/>
      </c>
      <c r="G661" s="1" t="str">
        <f t="shared" si="41"/>
        <v/>
      </c>
      <c r="H661" s="1" t="str">
        <f t="shared" si="42"/>
        <v/>
      </c>
      <c r="I661" s="1" t="str">
        <f>IF($L661="","",INDEX(Ref_AccountRules,$L661,3))</f>
        <v/>
      </c>
      <c r="J661" s="1" t="str">
        <f>IF($L661="","",INDEX(Ref_AccountRules,$L661,4))</f>
        <v/>
      </c>
      <c r="K661" s="1" t="str">
        <f>IF($L661="","",INDEX(Ref_AccountRules,$L661,5))</f>
        <v/>
      </c>
      <c r="L661" s="1" t="str">
        <f t="shared" si="43"/>
        <v/>
      </c>
    </row>
    <row r="662" spans="2:12" x14ac:dyDescent="0.35">
      <c r="B662" s="12"/>
      <c r="C662" s="11"/>
      <c r="D662" s="11"/>
      <c r="E662" s="11"/>
      <c r="F662" s="1" t="str">
        <f t="shared" si="40"/>
        <v/>
      </c>
      <c r="G662" s="1" t="str">
        <f t="shared" si="41"/>
        <v/>
      </c>
      <c r="H662" s="1" t="str">
        <f t="shared" si="42"/>
        <v/>
      </c>
      <c r="I662" s="1" t="str">
        <f>IF($L662="","",INDEX(Ref_AccountRules,$L662,3))</f>
        <v/>
      </c>
      <c r="J662" s="1" t="str">
        <f>IF($L662="","",INDEX(Ref_AccountRules,$L662,4))</f>
        <v/>
      </c>
      <c r="K662" s="1" t="str">
        <f>IF($L662="","",INDEX(Ref_AccountRules,$L662,5))</f>
        <v/>
      </c>
      <c r="L662" s="1" t="str">
        <f t="shared" si="43"/>
        <v/>
      </c>
    </row>
    <row r="663" spans="2:12" x14ac:dyDescent="0.35">
      <c r="B663" s="12"/>
      <c r="C663" s="11"/>
      <c r="D663" s="11"/>
      <c r="E663" s="11"/>
      <c r="F663" s="1" t="str">
        <f t="shared" si="40"/>
        <v/>
      </c>
      <c r="G663" s="1" t="str">
        <f t="shared" si="41"/>
        <v/>
      </c>
      <c r="H663" s="1" t="str">
        <f t="shared" si="42"/>
        <v/>
      </c>
      <c r="I663" s="1" t="str">
        <f>IF($L663="","",INDEX(Ref_AccountRules,$L663,3))</f>
        <v/>
      </c>
      <c r="J663" s="1" t="str">
        <f>IF($L663="","",INDEX(Ref_AccountRules,$L663,4))</f>
        <v/>
      </c>
      <c r="K663" s="1" t="str">
        <f>IF($L663="","",INDEX(Ref_AccountRules,$L663,5))</f>
        <v/>
      </c>
      <c r="L663" s="1" t="str">
        <f t="shared" si="43"/>
        <v/>
      </c>
    </row>
    <row r="664" spans="2:12" x14ac:dyDescent="0.35">
      <c r="B664" s="12"/>
      <c r="C664" s="11"/>
      <c r="D664" s="11"/>
      <c r="E664" s="11"/>
      <c r="F664" s="1" t="str">
        <f t="shared" si="40"/>
        <v/>
      </c>
      <c r="G664" s="1" t="str">
        <f t="shared" si="41"/>
        <v/>
      </c>
      <c r="H664" s="1" t="str">
        <f t="shared" si="42"/>
        <v/>
      </c>
      <c r="I664" s="1" t="str">
        <f>IF($L664="","",INDEX(Ref_AccountRules,$L664,3))</f>
        <v/>
      </c>
      <c r="J664" s="1" t="str">
        <f>IF($L664="","",INDEX(Ref_AccountRules,$L664,4))</f>
        <v/>
      </c>
      <c r="K664" s="1" t="str">
        <f>IF($L664="","",INDEX(Ref_AccountRules,$L664,5))</f>
        <v/>
      </c>
      <c r="L664" s="1" t="str">
        <f t="shared" si="43"/>
        <v/>
      </c>
    </row>
    <row r="665" spans="2:12" x14ac:dyDescent="0.35">
      <c r="B665" s="12"/>
      <c r="C665" s="11"/>
      <c r="D665" s="11"/>
      <c r="E665" s="11"/>
      <c r="F665" s="1" t="str">
        <f t="shared" si="40"/>
        <v/>
      </c>
      <c r="G665" s="1" t="str">
        <f t="shared" si="41"/>
        <v/>
      </c>
      <c r="H665" s="1" t="str">
        <f t="shared" si="42"/>
        <v/>
      </c>
      <c r="I665" s="1" t="str">
        <f>IF($L665="","",INDEX(Ref_AccountRules,$L665,3))</f>
        <v/>
      </c>
      <c r="J665" s="1" t="str">
        <f>IF($L665="","",INDEX(Ref_AccountRules,$L665,4))</f>
        <v/>
      </c>
      <c r="K665" s="1" t="str">
        <f>IF($L665="","",INDEX(Ref_AccountRules,$L665,5))</f>
        <v/>
      </c>
      <c r="L665" s="1" t="str">
        <f t="shared" si="43"/>
        <v/>
      </c>
    </row>
    <row r="666" spans="2:12" x14ac:dyDescent="0.35">
      <c r="B666" s="12"/>
      <c r="C666" s="11"/>
      <c r="D666" s="11"/>
      <c r="E666" s="11"/>
      <c r="F666" s="1" t="str">
        <f t="shared" si="40"/>
        <v/>
      </c>
      <c r="G666" s="1" t="str">
        <f t="shared" si="41"/>
        <v/>
      </c>
      <c r="H666" s="1" t="str">
        <f t="shared" si="42"/>
        <v/>
      </c>
      <c r="I666" s="1" t="str">
        <f>IF($L666="","",INDEX(Ref_AccountRules,$L666,3))</f>
        <v/>
      </c>
      <c r="J666" s="1" t="str">
        <f>IF($L666="","",INDEX(Ref_AccountRules,$L666,4))</f>
        <v/>
      </c>
      <c r="K666" s="1" t="str">
        <f>IF($L666="","",INDEX(Ref_AccountRules,$L666,5))</f>
        <v/>
      </c>
      <c r="L666" s="1" t="str">
        <f t="shared" si="43"/>
        <v/>
      </c>
    </row>
    <row r="667" spans="2:12" x14ac:dyDescent="0.35">
      <c r="B667" s="12"/>
      <c r="C667" s="11"/>
      <c r="D667" s="11"/>
      <c r="E667" s="11"/>
      <c r="F667" s="1" t="str">
        <f t="shared" si="40"/>
        <v/>
      </c>
      <c r="G667" s="1" t="str">
        <f t="shared" si="41"/>
        <v/>
      </c>
      <c r="H667" s="1" t="str">
        <f t="shared" si="42"/>
        <v/>
      </c>
      <c r="I667" s="1" t="str">
        <f>IF($L667="","",INDEX(Ref_AccountRules,$L667,3))</f>
        <v/>
      </c>
      <c r="J667" s="1" t="str">
        <f>IF($L667="","",INDEX(Ref_AccountRules,$L667,4))</f>
        <v/>
      </c>
      <c r="K667" s="1" t="str">
        <f>IF($L667="","",INDEX(Ref_AccountRules,$L667,5))</f>
        <v/>
      </c>
      <c r="L667" s="1" t="str">
        <f t="shared" si="43"/>
        <v/>
      </c>
    </row>
    <row r="668" spans="2:12" x14ac:dyDescent="0.35">
      <c r="B668" s="12"/>
      <c r="C668" s="11"/>
      <c r="D668" s="11"/>
      <c r="E668" s="11"/>
      <c r="F668" s="1" t="str">
        <f t="shared" si="40"/>
        <v/>
      </c>
      <c r="G668" s="1" t="str">
        <f t="shared" si="41"/>
        <v/>
      </c>
      <c r="H668" s="1" t="str">
        <f t="shared" si="42"/>
        <v/>
      </c>
      <c r="I668" s="1" t="str">
        <f>IF($L668="","",INDEX(Ref_AccountRules,$L668,3))</f>
        <v/>
      </c>
      <c r="J668" s="1" t="str">
        <f>IF($L668="","",INDEX(Ref_AccountRules,$L668,4))</f>
        <v/>
      </c>
      <c r="K668" s="1" t="str">
        <f>IF($L668="","",INDEX(Ref_AccountRules,$L668,5))</f>
        <v/>
      </c>
      <c r="L668" s="1" t="str">
        <f t="shared" si="43"/>
        <v/>
      </c>
    </row>
    <row r="669" spans="2:12" x14ac:dyDescent="0.35">
      <c r="B669" s="12"/>
      <c r="C669" s="11"/>
      <c r="D669" s="11"/>
      <c r="E669" s="11"/>
      <c r="F669" s="1" t="str">
        <f t="shared" si="40"/>
        <v/>
      </c>
      <c r="G669" s="1" t="str">
        <f t="shared" si="41"/>
        <v/>
      </c>
      <c r="H669" s="1" t="str">
        <f t="shared" si="42"/>
        <v/>
      </c>
      <c r="I669" s="1" t="str">
        <f>IF($L669="","",INDEX(Ref_AccountRules,$L669,3))</f>
        <v/>
      </c>
      <c r="J669" s="1" t="str">
        <f>IF($L669="","",INDEX(Ref_AccountRules,$L669,4))</f>
        <v/>
      </c>
      <c r="K669" s="1" t="str">
        <f>IF($L669="","",INDEX(Ref_AccountRules,$L669,5))</f>
        <v/>
      </c>
      <c r="L669" s="1" t="str">
        <f t="shared" si="43"/>
        <v/>
      </c>
    </row>
    <row r="670" spans="2:12" x14ac:dyDescent="0.35">
      <c r="B670" s="12"/>
      <c r="C670" s="11"/>
      <c r="D670" s="11"/>
      <c r="E670" s="11"/>
      <c r="F670" s="1" t="str">
        <f t="shared" si="40"/>
        <v/>
      </c>
      <c r="G670" s="1" t="str">
        <f t="shared" si="41"/>
        <v/>
      </c>
      <c r="H670" s="1" t="str">
        <f t="shared" si="42"/>
        <v/>
      </c>
      <c r="I670" s="1" t="str">
        <f>IF($L670="","",INDEX(Ref_AccountRules,$L670,3))</f>
        <v/>
      </c>
      <c r="J670" s="1" t="str">
        <f>IF($L670="","",INDEX(Ref_AccountRules,$L670,4))</f>
        <v/>
      </c>
      <c r="K670" s="1" t="str">
        <f>IF($L670="","",INDEX(Ref_AccountRules,$L670,5))</f>
        <v/>
      </c>
      <c r="L670" s="1" t="str">
        <f t="shared" si="43"/>
        <v/>
      </c>
    </row>
    <row r="671" spans="2:12" x14ac:dyDescent="0.35">
      <c r="B671" s="12"/>
      <c r="C671" s="11"/>
      <c r="D671" s="11"/>
      <c r="E671" s="11"/>
      <c r="F671" s="1" t="str">
        <f t="shared" si="40"/>
        <v/>
      </c>
      <c r="G671" s="1" t="str">
        <f t="shared" si="41"/>
        <v/>
      </c>
      <c r="H671" s="1" t="str">
        <f t="shared" si="42"/>
        <v/>
      </c>
      <c r="I671" s="1" t="str">
        <f>IF($L671="","",INDEX(Ref_AccountRules,$L671,3))</f>
        <v/>
      </c>
      <c r="J671" s="1" t="str">
        <f>IF($L671="","",INDEX(Ref_AccountRules,$L671,4))</f>
        <v/>
      </c>
      <c r="K671" s="1" t="str">
        <f>IF($L671="","",INDEX(Ref_AccountRules,$L671,5))</f>
        <v/>
      </c>
      <c r="L671" s="1" t="str">
        <f t="shared" si="43"/>
        <v/>
      </c>
    </row>
    <row r="672" spans="2:12" x14ac:dyDescent="0.35">
      <c r="B672" s="12"/>
      <c r="C672" s="11"/>
      <c r="D672" s="11"/>
      <c r="E672" s="11"/>
      <c r="F672" s="1" t="str">
        <f t="shared" si="40"/>
        <v/>
      </c>
      <c r="G672" s="1" t="str">
        <f t="shared" si="41"/>
        <v/>
      </c>
      <c r="H672" s="1" t="str">
        <f t="shared" si="42"/>
        <v/>
      </c>
      <c r="I672" s="1" t="str">
        <f>IF($L672="","",INDEX(Ref_AccountRules,$L672,3))</f>
        <v/>
      </c>
      <c r="J672" s="1" t="str">
        <f>IF($L672="","",INDEX(Ref_AccountRules,$L672,4))</f>
        <v/>
      </c>
      <c r="K672" s="1" t="str">
        <f>IF($L672="","",INDEX(Ref_AccountRules,$L672,5))</f>
        <v/>
      </c>
      <c r="L672" s="1" t="str">
        <f t="shared" si="43"/>
        <v/>
      </c>
    </row>
    <row r="673" spans="2:12" x14ac:dyDescent="0.35">
      <c r="B673" s="12"/>
      <c r="C673" s="11"/>
      <c r="D673" s="11"/>
      <c r="E673" s="11"/>
      <c r="F673" s="1" t="str">
        <f t="shared" si="40"/>
        <v/>
      </c>
      <c r="G673" s="1" t="str">
        <f t="shared" si="41"/>
        <v/>
      </c>
      <c r="H673" s="1" t="str">
        <f t="shared" si="42"/>
        <v/>
      </c>
      <c r="I673" s="1" t="str">
        <f>IF($L673="","",INDEX(Ref_AccountRules,$L673,3))</f>
        <v/>
      </c>
      <c r="J673" s="1" t="str">
        <f>IF($L673="","",INDEX(Ref_AccountRules,$L673,4))</f>
        <v/>
      </c>
      <c r="K673" s="1" t="str">
        <f>IF($L673="","",INDEX(Ref_AccountRules,$L673,5))</f>
        <v/>
      </c>
      <c r="L673" s="1" t="str">
        <f t="shared" si="43"/>
        <v/>
      </c>
    </row>
    <row r="674" spans="2:12" x14ac:dyDescent="0.35">
      <c r="B674" s="12"/>
      <c r="C674" s="11"/>
      <c r="D674" s="11"/>
      <c r="E674" s="11"/>
      <c r="F674" s="1" t="str">
        <f t="shared" si="40"/>
        <v/>
      </c>
      <c r="G674" s="1" t="str">
        <f t="shared" si="41"/>
        <v/>
      </c>
      <c r="H674" s="1" t="str">
        <f t="shared" si="42"/>
        <v/>
      </c>
      <c r="I674" s="1" t="str">
        <f>IF($L674="","",INDEX(Ref_AccountRules,$L674,3))</f>
        <v/>
      </c>
      <c r="J674" s="1" t="str">
        <f>IF($L674="","",INDEX(Ref_AccountRules,$L674,4))</f>
        <v/>
      </c>
      <c r="K674" s="1" t="str">
        <f>IF($L674="","",INDEX(Ref_AccountRules,$L674,5))</f>
        <v/>
      </c>
      <c r="L674" s="1" t="str">
        <f t="shared" si="43"/>
        <v/>
      </c>
    </row>
    <row r="675" spans="2:12" x14ac:dyDescent="0.35">
      <c r="B675" s="12"/>
      <c r="C675" s="11"/>
      <c r="D675" s="11"/>
      <c r="E675" s="11"/>
      <c r="F675" s="1" t="str">
        <f t="shared" si="40"/>
        <v/>
      </c>
      <c r="G675" s="1" t="str">
        <f t="shared" si="41"/>
        <v/>
      </c>
      <c r="H675" s="1" t="str">
        <f t="shared" si="42"/>
        <v/>
      </c>
      <c r="I675" s="1" t="str">
        <f>IF($L675="","",INDEX(Ref_AccountRules,$L675,3))</f>
        <v/>
      </c>
      <c r="J675" s="1" t="str">
        <f>IF($L675="","",INDEX(Ref_AccountRules,$L675,4))</f>
        <v/>
      </c>
      <c r="K675" s="1" t="str">
        <f>IF($L675="","",INDEX(Ref_AccountRules,$L675,5))</f>
        <v/>
      </c>
      <c r="L675" s="1" t="str">
        <f t="shared" si="43"/>
        <v/>
      </c>
    </row>
    <row r="676" spans="2:12" x14ac:dyDescent="0.35">
      <c r="B676" s="12"/>
      <c r="C676" s="11"/>
      <c r="D676" s="11"/>
      <c r="E676" s="11"/>
      <c r="F676" s="1" t="str">
        <f t="shared" si="40"/>
        <v/>
      </c>
      <c r="G676" s="1" t="str">
        <f t="shared" si="41"/>
        <v/>
      </c>
      <c r="H676" s="1" t="str">
        <f t="shared" si="42"/>
        <v/>
      </c>
      <c r="I676" s="1" t="str">
        <f>IF($L676="","",INDEX(Ref_AccountRules,$L676,3))</f>
        <v/>
      </c>
      <c r="J676" s="1" t="str">
        <f>IF($L676="","",INDEX(Ref_AccountRules,$L676,4))</f>
        <v/>
      </c>
      <c r="K676" s="1" t="str">
        <f>IF($L676="","",INDEX(Ref_AccountRules,$L676,5))</f>
        <v/>
      </c>
      <c r="L676" s="1" t="str">
        <f t="shared" si="43"/>
        <v/>
      </c>
    </row>
    <row r="677" spans="2:12" x14ac:dyDescent="0.35">
      <c r="B677" s="12"/>
      <c r="C677" s="11"/>
      <c r="D677" s="11"/>
      <c r="E677" s="11"/>
      <c r="F677" s="1" t="str">
        <f t="shared" si="40"/>
        <v/>
      </c>
      <c r="G677" s="1" t="str">
        <f t="shared" si="41"/>
        <v/>
      </c>
      <c r="H677" s="1" t="str">
        <f t="shared" si="42"/>
        <v/>
      </c>
      <c r="I677" s="1" t="str">
        <f>IF($L677="","",INDEX(Ref_AccountRules,$L677,3))</f>
        <v/>
      </c>
      <c r="J677" s="1" t="str">
        <f>IF($L677="","",INDEX(Ref_AccountRules,$L677,4))</f>
        <v/>
      </c>
      <c r="K677" s="1" t="str">
        <f>IF($L677="","",INDEX(Ref_AccountRules,$L677,5))</f>
        <v/>
      </c>
      <c r="L677" s="1" t="str">
        <f t="shared" si="43"/>
        <v/>
      </c>
    </row>
    <row r="678" spans="2:12" x14ac:dyDescent="0.35">
      <c r="B678" s="12"/>
      <c r="C678" s="11"/>
      <c r="D678" s="11"/>
      <c r="E678" s="11"/>
      <c r="F678" s="1" t="str">
        <f t="shared" si="40"/>
        <v/>
      </c>
      <c r="G678" s="1" t="str">
        <f t="shared" si="41"/>
        <v/>
      </c>
      <c r="H678" s="1" t="str">
        <f t="shared" si="42"/>
        <v/>
      </c>
      <c r="I678" s="1" t="str">
        <f>IF($L678="","",INDEX(Ref_AccountRules,$L678,3))</f>
        <v/>
      </c>
      <c r="J678" s="1" t="str">
        <f>IF($L678="","",INDEX(Ref_AccountRules,$L678,4))</f>
        <v/>
      </c>
      <c r="K678" s="1" t="str">
        <f>IF($L678="","",INDEX(Ref_AccountRules,$L678,5))</f>
        <v/>
      </c>
      <c r="L678" s="1" t="str">
        <f t="shared" si="43"/>
        <v/>
      </c>
    </row>
    <row r="679" spans="2:12" x14ac:dyDescent="0.35">
      <c r="B679" s="12"/>
      <c r="C679" s="11"/>
      <c r="D679" s="11"/>
      <c r="E679" s="11"/>
      <c r="F679" s="1" t="str">
        <f t="shared" si="40"/>
        <v/>
      </c>
      <c r="G679" s="1" t="str">
        <f t="shared" si="41"/>
        <v/>
      </c>
      <c r="H679" s="1" t="str">
        <f t="shared" si="42"/>
        <v/>
      </c>
      <c r="I679" s="1" t="str">
        <f>IF($L679="","",INDEX(Ref_AccountRules,$L679,3))</f>
        <v/>
      </c>
      <c r="J679" s="1" t="str">
        <f>IF($L679="","",INDEX(Ref_AccountRules,$L679,4))</f>
        <v/>
      </c>
      <c r="K679" s="1" t="str">
        <f>IF($L679="","",INDEX(Ref_AccountRules,$L679,5))</f>
        <v/>
      </c>
      <c r="L679" s="1" t="str">
        <f t="shared" si="43"/>
        <v/>
      </c>
    </row>
    <row r="680" spans="2:12" x14ac:dyDescent="0.35">
      <c r="B680" s="12"/>
      <c r="C680" s="11"/>
      <c r="D680" s="11"/>
      <c r="E680" s="11"/>
      <c r="F680" s="1" t="str">
        <f t="shared" si="40"/>
        <v/>
      </c>
      <c r="G680" s="1" t="str">
        <f t="shared" si="41"/>
        <v/>
      </c>
      <c r="H680" s="1" t="str">
        <f t="shared" si="42"/>
        <v/>
      </c>
      <c r="I680" s="1" t="str">
        <f>IF($L680="","",INDEX(Ref_AccountRules,$L680,3))</f>
        <v/>
      </c>
      <c r="J680" s="1" t="str">
        <f>IF($L680="","",INDEX(Ref_AccountRules,$L680,4))</f>
        <v/>
      </c>
      <c r="K680" s="1" t="str">
        <f>IF($L680="","",INDEX(Ref_AccountRules,$L680,5))</f>
        <v/>
      </c>
      <c r="L680" s="1" t="str">
        <f t="shared" si="43"/>
        <v/>
      </c>
    </row>
    <row r="681" spans="2:12" x14ac:dyDescent="0.35">
      <c r="B681" s="12"/>
      <c r="C681" s="11"/>
      <c r="D681" s="11"/>
      <c r="E681" s="11"/>
      <c r="F681" s="1" t="str">
        <f t="shared" si="40"/>
        <v/>
      </c>
      <c r="G681" s="1" t="str">
        <f t="shared" si="41"/>
        <v/>
      </c>
      <c r="H681" s="1" t="str">
        <f t="shared" si="42"/>
        <v/>
      </c>
      <c r="I681" s="1" t="str">
        <f>IF($L681="","",INDEX(Ref_AccountRules,$L681,3))</f>
        <v/>
      </c>
      <c r="J681" s="1" t="str">
        <f>IF($L681="","",INDEX(Ref_AccountRules,$L681,4))</f>
        <v/>
      </c>
      <c r="K681" s="1" t="str">
        <f>IF($L681="","",INDEX(Ref_AccountRules,$L681,5))</f>
        <v/>
      </c>
      <c r="L681" s="1" t="str">
        <f t="shared" si="43"/>
        <v/>
      </c>
    </row>
    <row r="682" spans="2:12" x14ac:dyDescent="0.35">
      <c r="B682" s="12"/>
      <c r="C682" s="11"/>
      <c r="D682" s="11"/>
      <c r="E682" s="11"/>
      <c r="F682" s="1" t="str">
        <f t="shared" si="40"/>
        <v/>
      </c>
      <c r="G682" s="1" t="str">
        <f t="shared" si="41"/>
        <v/>
      </c>
      <c r="H682" s="1" t="str">
        <f t="shared" si="42"/>
        <v/>
      </c>
      <c r="I682" s="1" t="str">
        <f>IF($L682="","",INDEX(Ref_AccountRules,$L682,3))</f>
        <v/>
      </c>
      <c r="J682" s="1" t="str">
        <f>IF($L682="","",INDEX(Ref_AccountRules,$L682,4))</f>
        <v/>
      </c>
      <c r="K682" s="1" t="str">
        <f>IF($L682="","",INDEX(Ref_AccountRules,$L682,5))</f>
        <v/>
      </c>
      <c r="L682" s="1" t="str">
        <f t="shared" si="43"/>
        <v/>
      </c>
    </row>
    <row r="683" spans="2:12" x14ac:dyDescent="0.35">
      <c r="B683" s="12"/>
      <c r="C683" s="11"/>
      <c r="D683" s="11"/>
      <c r="E683" s="11"/>
      <c r="F683" s="1" t="str">
        <f t="shared" si="40"/>
        <v/>
      </c>
      <c r="G683" s="1" t="str">
        <f t="shared" si="41"/>
        <v/>
      </c>
      <c r="H683" s="1" t="str">
        <f t="shared" si="42"/>
        <v/>
      </c>
      <c r="I683" s="1" t="str">
        <f>IF($L683="","",INDEX(Ref_AccountRules,$L683,3))</f>
        <v/>
      </c>
      <c r="J683" s="1" t="str">
        <f>IF($L683="","",INDEX(Ref_AccountRules,$L683,4))</f>
        <v/>
      </c>
      <c r="K683" s="1" t="str">
        <f>IF($L683="","",INDEX(Ref_AccountRules,$L683,5))</f>
        <v/>
      </c>
      <c r="L683" s="1" t="str">
        <f t="shared" si="43"/>
        <v/>
      </c>
    </row>
    <row r="684" spans="2:12" x14ac:dyDescent="0.35">
      <c r="B684" s="12"/>
      <c r="C684" s="11"/>
      <c r="D684" s="11"/>
      <c r="E684" s="11"/>
      <c r="F684" s="1" t="str">
        <f t="shared" si="40"/>
        <v/>
      </c>
      <c r="G684" s="1" t="str">
        <f t="shared" si="41"/>
        <v/>
      </c>
      <c r="H684" s="1" t="str">
        <f t="shared" si="42"/>
        <v/>
      </c>
      <c r="I684" s="1" t="str">
        <f>IF($L684="","",INDEX(Ref_AccountRules,$L684,3))</f>
        <v/>
      </c>
      <c r="J684" s="1" t="str">
        <f>IF($L684="","",INDEX(Ref_AccountRules,$L684,4))</f>
        <v/>
      </c>
      <c r="K684" s="1" t="str">
        <f>IF($L684="","",INDEX(Ref_AccountRules,$L684,5))</f>
        <v/>
      </c>
      <c r="L684" s="1" t="str">
        <f t="shared" si="43"/>
        <v/>
      </c>
    </row>
    <row r="685" spans="2:12" x14ac:dyDescent="0.35">
      <c r="B685" s="12"/>
      <c r="C685" s="11"/>
      <c r="D685" s="11"/>
      <c r="E685" s="11"/>
      <c r="F685" s="1" t="str">
        <f t="shared" si="40"/>
        <v/>
      </c>
      <c r="G685" s="1" t="str">
        <f t="shared" si="41"/>
        <v/>
      </c>
      <c r="H685" s="1" t="str">
        <f t="shared" si="42"/>
        <v/>
      </c>
      <c r="I685" s="1" t="str">
        <f>IF($L685="","",INDEX(Ref_AccountRules,$L685,3))</f>
        <v/>
      </c>
      <c r="J685" s="1" t="str">
        <f>IF($L685="","",INDEX(Ref_AccountRules,$L685,4))</f>
        <v/>
      </c>
      <c r="K685" s="1" t="str">
        <f>IF($L685="","",INDEX(Ref_AccountRules,$L685,5))</f>
        <v/>
      </c>
      <c r="L685" s="1" t="str">
        <f t="shared" si="43"/>
        <v/>
      </c>
    </row>
    <row r="686" spans="2:12" x14ac:dyDescent="0.35">
      <c r="B686" s="12"/>
      <c r="C686" s="11"/>
      <c r="D686" s="11"/>
      <c r="E686" s="11"/>
      <c r="F686" s="1" t="str">
        <f t="shared" si="40"/>
        <v/>
      </c>
      <c r="G686" s="1" t="str">
        <f t="shared" si="41"/>
        <v/>
      </c>
      <c r="H686" s="1" t="str">
        <f t="shared" si="42"/>
        <v/>
      </c>
      <c r="I686" s="1" t="str">
        <f>IF($L686="","",INDEX(Ref_AccountRules,$L686,3))</f>
        <v/>
      </c>
      <c r="J686" s="1" t="str">
        <f>IF($L686="","",INDEX(Ref_AccountRules,$L686,4))</f>
        <v/>
      </c>
      <c r="K686" s="1" t="str">
        <f>IF($L686="","",INDEX(Ref_AccountRules,$L686,5))</f>
        <v/>
      </c>
      <c r="L686" s="1" t="str">
        <f t="shared" si="43"/>
        <v/>
      </c>
    </row>
    <row r="687" spans="2:12" x14ac:dyDescent="0.35">
      <c r="B687" s="12"/>
      <c r="C687" s="11"/>
      <c r="D687" s="11"/>
      <c r="E687" s="11"/>
      <c r="F687" s="1" t="str">
        <f t="shared" si="40"/>
        <v/>
      </c>
      <c r="G687" s="1" t="str">
        <f t="shared" si="41"/>
        <v/>
      </c>
      <c r="H687" s="1" t="str">
        <f t="shared" si="42"/>
        <v/>
      </c>
      <c r="I687" s="1" t="str">
        <f>IF($L687="","",INDEX(Ref_AccountRules,$L687,3))</f>
        <v/>
      </c>
      <c r="J687" s="1" t="str">
        <f>IF($L687="","",INDEX(Ref_AccountRules,$L687,4))</f>
        <v/>
      </c>
      <c r="K687" s="1" t="str">
        <f>IF($L687="","",INDEX(Ref_AccountRules,$L687,5))</f>
        <v/>
      </c>
      <c r="L687" s="1" t="str">
        <f t="shared" si="43"/>
        <v/>
      </c>
    </row>
    <row r="688" spans="2:12" x14ac:dyDescent="0.35">
      <c r="B688" s="12"/>
      <c r="C688" s="11"/>
      <c r="D688" s="11"/>
      <c r="E688" s="11"/>
      <c r="F688" s="1" t="str">
        <f t="shared" si="40"/>
        <v/>
      </c>
      <c r="G688" s="1" t="str">
        <f t="shared" si="41"/>
        <v/>
      </c>
      <c r="H688" s="1" t="str">
        <f t="shared" si="42"/>
        <v/>
      </c>
      <c r="I688" s="1" t="str">
        <f>IF($L688="","",INDEX(Ref_AccountRules,$L688,3))</f>
        <v/>
      </c>
      <c r="J688" s="1" t="str">
        <f>IF($L688="","",INDEX(Ref_AccountRules,$L688,4))</f>
        <v/>
      </c>
      <c r="K688" s="1" t="str">
        <f>IF($L688="","",INDEX(Ref_AccountRules,$L688,5))</f>
        <v/>
      </c>
      <c r="L688" s="1" t="str">
        <f t="shared" si="43"/>
        <v/>
      </c>
    </row>
    <row r="689" spans="2:12" x14ac:dyDescent="0.35">
      <c r="B689" s="12"/>
      <c r="C689" s="11"/>
      <c r="D689" s="11"/>
      <c r="E689" s="11"/>
      <c r="F689" s="1" t="str">
        <f t="shared" si="40"/>
        <v/>
      </c>
      <c r="G689" s="1" t="str">
        <f t="shared" si="41"/>
        <v/>
      </c>
      <c r="H689" s="1" t="str">
        <f t="shared" si="42"/>
        <v/>
      </c>
      <c r="I689" s="1" t="str">
        <f>IF($L689="","",INDEX(Ref_AccountRules,$L689,3))</f>
        <v/>
      </c>
      <c r="J689" s="1" t="str">
        <f>IF($L689="","",INDEX(Ref_AccountRules,$L689,4))</f>
        <v/>
      </c>
      <c r="K689" s="1" t="str">
        <f>IF($L689="","",INDEX(Ref_AccountRules,$L689,5))</f>
        <v/>
      </c>
      <c r="L689" s="1" t="str">
        <f t="shared" si="43"/>
        <v/>
      </c>
    </row>
    <row r="690" spans="2:12" x14ac:dyDescent="0.35">
      <c r="B690" s="12"/>
      <c r="C690" s="11"/>
      <c r="D690" s="11"/>
      <c r="E690" s="11"/>
      <c r="F690" s="1" t="str">
        <f t="shared" si="40"/>
        <v/>
      </c>
      <c r="G690" s="1" t="str">
        <f t="shared" si="41"/>
        <v/>
      </c>
      <c r="H690" s="1" t="str">
        <f t="shared" si="42"/>
        <v/>
      </c>
      <c r="I690" s="1" t="str">
        <f>IF($L690="","",INDEX(Ref_AccountRules,$L690,3))</f>
        <v/>
      </c>
      <c r="J690" s="1" t="str">
        <f>IF($L690="","",INDEX(Ref_AccountRules,$L690,4))</f>
        <v/>
      </c>
      <c r="K690" s="1" t="str">
        <f>IF($L690="","",INDEX(Ref_AccountRules,$L690,5))</f>
        <v/>
      </c>
      <c r="L690" s="1" t="str">
        <f t="shared" si="43"/>
        <v/>
      </c>
    </row>
    <row r="691" spans="2:12" x14ac:dyDescent="0.35">
      <c r="B691" s="12"/>
      <c r="C691" s="11"/>
      <c r="D691" s="11"/>
      <c r="E691" s="11"/>
      <c r="F691" s="1" t="str">
        <f t="shared" si="40"/>
        <v/>
      </c>
      <c r="G691" s="1" t="str">
        <f t="shared" si="41"/>
        <v/>
      </c>
      <c r="H691" s="1" t="str">
        <f t="shared" si="42"/>
        <v/>
      </c>
      <c r="I691" s="1" t="str">
        <f>IF($L691="","",INDEX(Ref_AccountRules,$L691,3))</f>
        <v/>
      </c>
      <c r="J691" s="1" t="str">
        <f>IF($L691="","",INDEX(Ref_AccountRules,$L691,4))</f>
        <v/>
      </c>
      <c r="K691" s="1" t="str">
        <f>IF($L691="","",INDEX(Ref_AccountRules,$L691,5))</f>
        <v/>
      </c>
      <c r="L691" s="1" t="str">
        <f t="shared" si="43"/>
        <v/>
      </c>
    </row>
    <row r="692" spans="2:12" x14ac:dyDescent="0.35">
      <c r="B692" s="12"/>
      <c r="C692" s="11"/>
      <c r="D692" s="11"/>
      <c r="E692" s="11"/>
      <c r="F692" s="1" t="str">
        <f t="shared" si="40"/>
        <v/>
      </c>
      <c r="G692" s="1" t="str">
        <f t="shared" si="41"/>
        <v/>
      </c>
      <c r="H692" s="1" t="str">
        <f t="shared" si="42"/>
        <v/>
      </c>
      <c r="I692" s="1" t="str">
        <f>IF($L692="","",INDEX(Ref_AccountRules,$L692,3))</f>
        <v/>
      </c>
      <c r="J692" s="1" t="str">
        <f>IF($L692="","",INDEX(Ref_AccountRules,$L692,4))</f>
        <v/>
      </c>
      <c r="K692" s="1" t="str">
        <f>IF($L692="","",INDEX(Ref_AccountRules,$L692,5))</f>
        <v/>
      </c>
      <c r="L692" s="1" t="str">
        <f t="shared" si="43"/>
        <v/>
      </c>
    </row>
    <row r="693" spans="2:12" x14ac:dyDescent="0.35">
      <c r="B693" s="12"/>
      <c r="C693" s="11"/>
      <c r="D693" s="11"/>
      <c r="E693" s="11"/>
      <c r="F693" s="1" t="str">
        <f t="shared" si="40"/>
        <v/>
      </c>
      <c r="G693" s="1" t="str">
        <f t="shared" si="41"/>
        <v/>
      </c>
      <c r="H693" s="1" t="str">
        <f t="shared" si="42"/>
        <v/>
      </c>
      <c r="I693" s="1" t="str">
        <f>IF($L693="","",INDEX(Ref_AccountRules,$L693,3))</f>
        <v/>
      </c>
      <c r="J693" s="1" t="str">
        <f>IF($L693="","",INDEX(Ref_AccountRules,$L693,4))</f>
        <v/>
      </c>
      <c r="K693" s="1" t="str">
        <f>IF($L693="","",INDEX(Ref_AccountRules,$L693,5))</f>
        <v/>
      </c>
      <c r="L693" s="1" t="str">
        <f t="shared" si="43"/>
        <v/>
      </c>
    </row>
    <row r="694" spans="2:12" x14ac:dyDescent="0.35">
      <c r="B694" s="12"/>
      <c r="C694" s="11"/>
      <c r="D694" s="11"/>
      <c r="E694" s="11"/>
      <c r="F694" s="1" t="str">
        <f t="shared" si="40"/>
        <v/>
      </c>
      <c r="G694" s="1" t="str">
        <f t="shared" si="41"/>
        <v/>
      </c>
      <c r="H694" s="1" t="str">
        <f t="shared" si="42"/>
        <v/>
      </c>
      <c r="I694" s="1" t="str">
        <f>IF($L694="","",INDEX(Ref_AccountRules,$L694,3))</f>
        <v/>
      </c>
      <c r="J694" s="1" t="str">
        <f>IF($L694="","",INDEX(Ref_AccountRules,$L694,4))</f>
        <v/>
      </c>
      <c r="K694" s="1" t="str">
        <f>IF($L694="","",INDEX(Ref_AccountRules,$L694,5))</f>
        <v/>
      </c>
      <c r="L694" s="1" t="str">
        <f t="shared" si="43"/>
        <v/>
      </c>
    </row>
    <row r="695" spans="2:12" x14ac:dyDescent="0.35">
      <c r="B695" s="12"/>
      <c r="C695" s="11"/>
      <c r="D695" s="11"/>
      <c r="E695" s="11"/>
      <c r="F695" s="1" t="str">
        <f t="shared" si="40"/>
        <v/>
      </c>
      <c r="G695" s="1" t="str">
        <f t="shared" si="41"/>
        <v/>
      </c>
      <c r="H695" s="1" t="str">
        <f t="shared" si="42"/>
        <v/>
      </c>
      <c r="I695" s="1" t="str">
        <f>IF($L695="","",INDEX(Ref_AccountRules,$L695,3))</f>
        <v/>
      </c>
      <c r="J695" s="1" t="str">
        <f>IF($L695="","",INDEX(Ref_AccountRules,$L695,4))</f>
        <v/>
      </c>
      <c r="K695" s="1" t="str">
        <f>IF($L695="","",INDEX(Ref_AccountRules,$L695,5))</f>
        <v/>
      </c>
      <c r="L695" s="1" t="str">
        <f t="shared" si="43"/>
        <v/>
      </c>
    </row>
    <row r="696" spans="2:12" x14ac:dyDescent="0.35">
      <c r="B696" s="12"/>
      <c r="C696" s="11"/>
      <c r="D696" s="11"/>
      <c r="E696" s="11"/>
      <c r="F696" s="1" t="str">
        <f t="shared" si="40"/>
        <v/>
      </c>
      <c r="G696" s="1" t="str">
        <f t="shared" si="41"/>
        <v/>
      </c>
      <c r="H696" s="1" t="str">
        <f t="shared" si="42"/>
        <v/>
      </c>
      <c r="I696" s="1" t="str">
        <f>IF($L696="","",INDEX(Ref_AccountRules,$L696,3))</f>
        <v/>
      </c>
      <c r="J696" s="1" t="str">
        <f>IF($L696="","",INDEX(Ref_AccountRules,$L696,4))</f>
        <v/>
      </c>
      <c r="K696" s="1" t="str">
        <f>IF($L696="","",INDEX(Ref_AccountRules,$L696,5))</f>
        <v/>
      </c>
      <c r="L696" s="1" t="str">
        <f t="shared" si="43"/>
        <v/>
      </c>
    </row>
    <row r="697" spans="2:12" x14ac:dyDescent="0.35">
      <c r="B697" s="12"/>
      <c r="C697" s="11"/>
      <c r="D697" s="11"/>
      <c r="E697" s="11"/>
      <c r="F697" s="1" t="str">
        <f t="shared" si="40"/>
        <v/>
      </c>
      <c r="G697" s="1" t="str">
        <f t="shared" si="41"/>
        <v/>
      </c>
      <c r="H697" s="1" t="str">
        <f t="shared" si="42"/>
        <v/>
      </c>
      <c r="I697" s="1" t="str">
        <f>IF($L697="","",INDEX(Ref_AccountRules,$L697,3))</f>
        <v/>
      </c>
      <c r="J697" s="1" t="str">
        <f>IF($L697="","",INDEX(Ref_AccountRules,$L697,4))</f>
        <v/>
      </c>
      <c r="K697" s="1" t="str">
        <f>IF($L697="","",INDEX(Ref_AccountRules,$L697,5))</f>
        <v/>
      </c>
      <c r="L697" s="1" t="str">
        <f t="shared" si="43"/>
        <v/>
      </c>
    </row>
    <row r="698" spans="2:12" x14ac:dyDescent="0.35">
      <c r="B698" s="12"/>
      <c r="C698" s="11"/>
      <c r="D698" s="11"/>
      <c r="E698" s="11"/>
      <c r="F698" s="1" t="str">
        <f t="shared" si="40"/>
        <v/>
      </c>
      <c r="G698" s="1" t="str">
        <f t="shared" si="41"/>
        <v/>
      </c>
      <c r="H698" s="1" t="str">
        <f t="shared" si="42"/>
        <v/>
      </c>
      <c r="I698" s="1" t="str">
        <f>IF($L698="","",INDEX(Ref_AccountRules,$L698,3))</f>
        <v/>
      </c>
      <c r="J698" s="1" t="str">
        <f>IF($L698="","",INDEX(Ref_AccountRules,$L698,4))</f>
        <v/>
      </c>
      <c r="K698" s="1" t="str">
        <f>IF($L698="","",INDEX(Ref_AccountRules,$L698,5))</f>
        <v/>
      </c>
      <c r="L698" s="1" t="str">
        <f t="shared" si="43"/>
        <v/>
      </c>
    </row>
    <row r="699" spans="2:12" x14ac:dyDescent="0.35">
      <c r="B699" s="12"/>
      <c r="C699" s="11"/>
      <c r="D699" s="11"/>
      <c r="E699" s="11"/>
      <c r="F699" s="1" t="str">
        <f t="shared" si="40"/>
        <v/>
      </c>
      <c r="G699" s="1" t="str">
        <f t="shared" si="41"/>
        <v/>
      </c>
      <c r="H699" s="1" t="str">
        <f t="shared" si="42"/>
        <v/>
      </c>
      <c r="I699" s="1" t="str">
        <f>IF($L699="","",INDEX(Ref_AccountRules,$L699,3))</f>
        <v/>
      </c>
      <c r="J699" s="1" t="str">
        <f>IF($L699="","",INDEX(Ref_AccountRules,$L699,4))</f>
        <v/>
      </c>
      <c r="K699" s="1" t="str">
        <f>IF($L699="","",INDEX(Ref_AccountRules,$L699,5))</f>
        <v/>
      </c>
      <c r="L699" s="1" t="str">
        <f t="shared" si="43"/>
        <v/>
      </c>
    </row>
    <row r="700" spans="2:12" x14ac:dyDescent="0.35">
      <c r="B700" s="12"/>
      <c r="C700" s="11"/>
      <c r="D700" s="11"/>
      <c r="E700" s="11"/>
      <c r="F700" s="1" t="str">
        <f t="shared" si="40"/>
        <v/>
      </c>
      <c r="G700" s="1" t="str">
        <f t="shared" si="41"/>
        <v/>
      </c>
      <c r="H700" s="1" t="str">
        <f t="shared" si="42"/>
        <v/>
      </c>
      <c r="I700" s="1" t="str">
        <f>IF($L700="","",INDEX(Ref_AccountRules,$L700,3))</f>
        <v/>
      </c>
      <c r="J700" s="1" t="str">
        <f>IF($L700="","",INDEX(Ref_AccountRules,$L700,4))</f>
        <v/>
      </c>
      <c r="K700" s="1" t="str">
        <f>IF($L700="","",INDEX(Ref_AccountRules,$L700,5))</f>
        <v/>
      </c>
      <c r="L700" s="1" t="str">
        <f t="shared" si="43"/>
        <v/>
      </c>
    </row>
    <row r="701" spans="2:12" x14ac:dyDescent="0.35">
      <c r="B701" s="12"/>
      <c r="C701" s="11"/>
      <c r="D701" s="11"/>
      <c r="E701" s="11"/>
      <c r="F701" s="1" t="str">
        <f t="shared" si="40"/>
        <v/>
      </c>
      <c r="G701" s="1" t="str">
        <f t="shared" si="41"/>
        <v/>
      </c>
      <c r="H701" s="1" t="str">
        <f t="shared" si="42"/>
        <v/>
      </c>
      <c r="I701" s="1" t="str">
        <f>IF($L701="","",INDEX(Ref_AccountRules,$L701,3))</f>
        <v/>
      </c>
      <c r="J701" s="1" t="str">
        <f>IF($L701="","",INDEX(Ref_AccountRules,$L701,4))</f>
        <v/>
      </c>
      <c r="K701" s="1" t="str">
        <f>IF($L701="","",INDEX(Ref_AccountRules,$L701,5))</f>
        <v/>
      </c>
      <c r="L701" s="1" t="str">
        <f t="shared" si="43"/>
        <v/>
      </c>
    </row>
    <row r="702" spans="2:12" x14ac:dyDescent="0.35">
      <c r="B702" s="12"/>
      <c r="C702" s="11"/>
      <c r="D702" s="11"/>
      <c r="E702" s="11"/>
      <c r="F702" s="1" t="str">
        <f t="shared" si="40"/>
        <v/>
      </c>
      <c r="G702" s="1" t="str">
        <f t="shared" si="41"/>
        <v/>
      </c>
      <c r="H702" s="1" t="str">
        <f t="shared" si="42"/>
        <v/>
      </c>
      <c r="I702" s="1" t="str">
        <f>IF($L702="","",INDEX(Ref_AccountRules,$L702,3))</f>
        <v/>
      </c>
      <c r="J702" s="1" t="str">
        <f>IF($L702="","",INDEX(Ref_AccountRules,$L702,4))</f>
        <v/>
      </c>
      <c r="K702" s="1" t="str">
        <f>IF($L702="","",INDEX(Ref_AccountRules,$L702,5))</f>
        <v/>
      </c>
      <c r="L702" s="1" t="str">
        <f t="shared" si="43"/>
        <v/>
      </c>
    </row>
    <row r="703" spans="2:12" x14ac:dyDescent="0.35">
      <c r="B703" s="12"/>
      <c r="C703" s="11"/>
      <c r="D703" s="11"/>
      <c r="E703" s="11"/>
      <c r="F703" s="1" t="str">
        <f t="shared" si="40"/>
        <v/>
      </c>
      <c r="G703" s="1" t="str">
        <f t="shared" si="41"/>
        <v/>
      </c>
      <c r="H703" s="1" t="str">
        <f t="shared" si="42"/>
        <v/>
      </c>
      <c r="I703" s="1" t="str">
        <f>IF($L703="","",INDEX(Ref_AccountRules,$L703,3))</f>
        <v/>
      </c>
      <c r="J703" s="1" t="str">
        <f>IF($L703="","",INDEX(Ref_AccountRules,$L703,4))</f>
        <v/>
      </c>
      <c r="K703" s="1" t="str">
        <f>IF($L703="","",INDEX(Ref_AccountRules,$L703,5))</f>
        <v/>
      </c>
      <c r="L703" s="1" t="str">
        <f t="shared" si="43"/>
        <v/>
      </c>
    </row>
    <row r="704" spans="2:12" x14ac:dyDescent="0.35">
      <c r="B704" s="12"/>
      <c r="C704" s="11"/>
      <c r="D704" s="11"/>
      <c r="E704" s="11"/>
      <c r="F704" s="1" t="str">
        <f t="shared" si="40"/>
        <v/>
      </c>
      <c r="G704" s="1" t="str">
        <f t="shared" si="41"/>
        <v/>
      </c>
      <c r="H704" s="1" t="str">
        <f t="shared" si="42"/>
        <v/>
      </c>
      <c r="I704" s="1" t="str">
        <f>IF($L704="","",INDEX(Ref_AccountRules,$L704,3))</f>
        <v/>
      </c>
      <c r="J704" s="1" t="str">
        <f>IF($L704="","",INDEX(Ref_AccountRules,$L704,4))</f>
        <v/>
      </c>
      <c r="K704" s="1" t="str">
        <f>IF($L704="","",INDEX(Ref_AccountRules,$L704,5))</f>
        <v/>
      </c>
      <c r="L704" s="1" t="str">
        <f t="shared" si="43"/>
        <v/>
      </c>
    </row>
    <row r="705" spans="2:12" x14ac:dyDescent="0.35">
      <c r="B705" s="12"/>
      <c r="C705" s="11"/>
      <c r="D705" s="11"/>
      <c r="E705" s="11"/>
      <c r="F705" s="1" t="str">
        <f t="shared" si="40"/>
        <v/>
      </c>
      <c r="G705" s="1" t="str">
        <f t="shared" si="41"/>
        <v/>
      </c>
      <c r="H705" s="1" t="str">
        <f t="shared" si="42"/>
        <v/>
      </c>
      <c r="I705" s="1" t="str">
        <f>IF($L705="","",INDEX(Ref_AccountRules,$L705,3))</f>
        <v/>
      </c>
      <c r="J705" s="1" t="str">
        <f>IF($L705="","",INDEX(Ref_AccountRules,$L705,4))</f>
        <v/>
      </c>
      <c r="K705" s="1" t="str">
        <f>IF($L705="","",INDEX(Ref_AccountRules,$L705,5))</f>
        <v/>
      </c>
      <c r="L705" s="1" t="str">
        <f t="shared" si="43"/>
        <v/>
      </c>
    </row>
    <row r="706" spans="2:12" x14ac:dyDescent="0.35">
      <c r="B706" s="12"/>
      <c r="C706" s="11"/>
      <c r="D706" s="11"/>
      <c r="E706" s="11"/>
      <c r="F706" s="1" t="str">
        <f t="shared" si="40"/>
        <v/>
      </c>
      <c r="G706" s="1" t="str">
        <f t="shared" si="41"/>
        <v/>
      </c>
      <c r="H706" s="1" t="str">
        <f t="shared" si="42"/>
        <v/>
      </c>
      <c r="I706" s="1" t="str">
        <f>IF($L706="","",INDEX(Ref_AccountRules,$L706,3))</f>
        <v/>
      </c>
      <c r="J706" s="1" t="str">
        <f>IF($L706="","",INDEX(Ref_AccountRules,$L706,4))</f>
        <v/>
      </c>
      <c r="K706" s="1" t="str">
        <f>IF($L706="","",INDEX(Ref_AccountRules,$L706,5))</f>
        <v/>
      </c>
      <c r="L706" s="1" t="str">
        <f t="shared" si="43"/>
        <v/>
      </c>
    </row>
    <row r="707" spans="2:12" x14ac:dyDescent="0.35">
      <c r="B707" s="12"/>
      <c r="C707" s="11"/>
      <c r="D707" s="11"/>
      <c r="E707" s="11"/>
      <c r="F707" s="1" t="str">
        <f t="shared" si="40"/>
        <v/>
      </c>
      <c r="G707" s="1" t="str">
        <f t="shared" si="41"/>
        <v/>
      </c>
      <c r="H707" s="1" t="str">
        <f t="shared" si="42"/>
        <v/>
      </c>
      <c r="I707" s="1" t="str">
        <f>IF($L707="","",INDEX(Ref_AccountRules,$L707,3))</f>
        <v/>
      </c>
      <c r="J707" s="1" t="str">
        <f>IF($L707="","",INDEX(Ref_AccountRules,$L707,4))</f>
        <v/>
      </c>
      <c r="K707" s="1" t="str">
        <f>IF($L707="","",INDEX(Ref_AccountRules,$L707,5))</f>
        <v/>
      </c>
      <c r="L707" s="1" t="str">
        <f t="shared" si="43"/>
        <v/>
      </c>
    </row>
    <row r="708" spans="2:12" x14ac:dyDescent="0.35">
      <c r="B708" s="12"/>
      <c r="C708" s="11"/>
      <c r="D708" s="11"/>
      <c r="E708" s="11"/>
      <c r="F708" s="1" t="str">
        <f t="shared" si="40"/>
        <v/>
      </c>
      <c r="G708" s="1" t="str">
        <f t="shared" si="41"/>
        <v/>
      </c>
      <c r="H708" s="1" t="str">
        <f t="shared" si="42"/>
        <v/>
      </c>
      <c r="I708" s="1" t="str">
        <f>IF($L708="","",INDEX(Ref_AccountRules,$L708,3))</f>
        <v/>
      </c>
      <c r="J708" s="1" t="str">
        <f>IF($L708="","",INDEX(Ref_AccountRules,$L708,4))</f>
        <v/>
      </c>
      <c r="K708" s="1" t="str">
        <f>IF($L708="","",INDEX(Ref_AccountRules,$L708,5))</f>
        <v/>
      </c>
      <c r="L708" s="1" t="str">
        <f t="shared" si="43"/>
        <v/>
      </c>
    </row>
    <row r="709" spans="2:12" x14ac:dyDescent="0.35">
      <c r="B709" s="12"/>
      <c r="C709" s="11"/>
      <c r="D709" s="11"/>
      <c r="E709" s="11"/>
      <c r="F709" s="1" t="str">
        <f t="shared" si="40"/>
        <v/>
      </c>
      <c r="G709" s="1" t="str">
        <f t="shared" si="41"/>
        <v/>
      </c>
      <c r="H709" s="1" t="str">
        <f t="shared" si="42"/>
        <v/>
      </c>
      <c r="I709" s="1" t="str">
        <f>IF($L709="","",INDEX(Ref_AccountRules,$L709,3))</f>
        <v/>
      </c>
      <c r="J709" s="1" t="str">
        <f>IF($L709="","",INDEX(Ref_AccountRules,$L709,4))</f>
        <v/>
      </c>
      <c r="K709" s="1" t="str">
        <f>IF($L709="","",INDEX(Ref_AccountRules,$L709,5))</f>
        <v/>
      </c>
      <c r="L709" s="1" t="str">
        <f t="shared" si="43"/>
        <v/>
      </c>
    </row>
    <row r="710" spans="2:12" x14ac:dyDescent="0.35">
      <c r="B710" s="12"/>
      <c r="C710" s="11"/>
      <c r="D710" s="11"/>
      <c r="E710" s="11"/>
      <c r="F710" s="1" t="str">
        <f t="shared" si="40"/>
        <v/>
      </c>
      <c r="G710" s="1" t="str">
        <f t="shared" si="41"/>
        <v/>
      </c>
      <c r="H710" s="1" t="str">
        <f t="shared" si="42"/>
        <v/>
      </c>
      <c r="I710" s="1" t="str">
        <f>IF($L710="","",INDEX(Ref_AccountRules,$L710,3))</f>
        <v/>
      </c>
      <c r="J710" s="1" t="str">
        <f>IF($L710="","",INDEX(Ref_AccountRules,$L710,4))</f>
        <v/>
      </c>
      <c r="K710" s="1" t="str">
        <f>IF($L710="","",INDEX(Ref_AccountRules,$L710,5))</f>
        <v/>
      </c>
      <c r="L710" s="1" t="str">
        <f t="shared" si="43"/>
        <v/>
      </c>
    </row>
    <row r="711" spans="2:12" x14ac:dyDescent="0.35">
      <c r="B711" s="12"/>
      <c r="C711" s="11"/>
      <c r="D711" s="11"/>
      <c r="E711" s="11"/>
      <c r="F711" s="1" t="str">
        <f t="shared" si="40"/>
        <v/>
      </c>
      <c r="G711" s="1" t="str">
        <f t="shared" si="41"/>
        <v/>
      </c>
      <c r="H711" s="1" t="str">
        <f t="shared" si="42"/>
        <v/>
      </c>
      <c r="I711" s="1" t="str">
        <f>IF($L711="","",INDEX(Ref_AccountRules,$L711,3))</f>
        <v/>
      </c>
      <c r="J711" s="1" t="str">
        <f>IF($L711="","",INDEX(Ref_AccountRules,$L711,4))</f>
        <v/>
      </c>
      <c r="K711" s="1" t="str">
        <f>IF($L711="","",INDEX(Ref_AccountRules,$L711,5))</f>
        <v/>
      </c>
      <c r="L711" s="1" t="str">
        <f t="shared" si="43"/>
        <v/>
      </c>
    </row>
    <row r="712" spans="2:12" x14ac:dyDescent="0.35">
      <c r="B712" s="12"/>
      <c r="C712" s="11"/>
      <c r="D712" s="11"/>
      <c r="E712" s="11"/>
      <c r="F712" s="1" t="str">
        <f t="shared" si="40"/>
        <v/>
      </c>
      <c r="G712" s="1" t="str">
        <f t="shared" si="41"/>
        <v/>
      </c>
      <c r="H712" s="1" t="str">
        <f t="shared" si="42"/>
        <v/>
      </c>
      <c r="I712" s="1" t="str">
        <f>IF($L712="","",INDEX(Ref_AccountRules,$L712,3))</f>
        <v/>
      </c>
      <c r="J712" s="1" t="str">
        <f>IF($L712="","",INDEX(Ref_AccountRules,$L712,4))</f>
        <v/>
      </c>
      <c r="K712" s="1" t="str">
        <f>IF($L712="","",INDEX(Ref_AccountRules,$L712,5))</f>
        <v/>
      </c>
      <c r="L712" s="1" t="str">
        <f t="shared" si="43"/>
        <v/>
      </c>
    </row>
    <row r="713" spans="2:12" x14ac:dyDescent="0.35">
      <c r="B713" s="12"/>
      <c r="C713" s="11"/>
      <c r="D713" s="11"/>
      <c r="E713" s="11"/>
      <c r="F713" s="1" t="str">
        <f t="shared" si="40"/>
        <v/>
      </c>
      <c r="G713" s="1" t="str">
        <f t="shared" si="41"/>
        <v/>
      </c>
      <c r="H713" s="1" t="str">
        <f t="shared" si="42"/>
        <v/>
      </c>
      <c r="I713" s="1" t="str">
        <f>IF($L713="","",INDEX(Ref_AccountRules,$L713,3))</f>
        <v/>
      </c>
      <c r="J713" s="1" t="str">
        <f>IF($L713="","",INDEX(Ref_AccountRules,$L713,4))</f>
        <v/>
      </c>
      <c r="K713" s="1" t="str">
        <f>IF($L713="","",INDEX(Ref_AccountRules,$L713,5))</f>
        <v/>
      </c>
      <c r="L713" s="1" t="str">
        <f t="shared" si="43"/>
        <v/>
      </c>
    </row>
    <row r="714" spans="2:12" x14ac:dyDescent="0.35">
      <c r="B714" s="12"/>
      <c r="C714" s="11"/>
      <c r="D714" s="11"/>
      <c r="E714" s="11"/>
      <c r="F714" s="1" t="str">
        <f t="shared" si="40"/>
        <v/>
      </c>
      <c r="G714" s="1" t="str">
        <f t="shared" si="41"/>
        <v/>
      </c>
      <c r="H714" s="1" t="str">
        <f t="shared" si="42"/>
        <v/>
      </c>
      <c r="I714" s="1" t="str">
        <f>IF($L714="","",INDEX(Ref_AccountRules,$L714,3))</f>
        <v/>
      </c>
      <c r="J714" s="1" t="str">
        <f>IF($L714="","",INDEX(Ref_AccountRules,$L714,4))</f>
        <v/>
      </c>
      <c r="K714" s="1" t="str">
        <f>IF($L714="","",INDEX(Ref_AccountRules,$L714,5))</f>
        <v/>
      </c>
      <c r="L714" s="1" t="str">
        <f t="shared" si="43"/>
        <v/>
      </c>
    </row>
    <row r="715" spans="2:12" x14ac:dyDescent="0.35">
      <c r="B715" s="12"/>
      <c r="C715" s="11"/>
      <c r="D715" s="11"/>
      <c r="E715" s="11"/>
      <c r="F715" s="1" t="str">
        <f t="shared" ref="F715:F778" si="44">IF($B715="","",E715-D715)</f>
        <v/>
      </c>
      <c r="G715" s="1" t="str">
        <f t="shared" ref="G715:G778" si="45">IF($B715="","",IF(D715=0,0,(E715-D715)/ABS(D715)*100))</f>
        <v/>
      </c>
      <c r="H715" s="1" t="str">
        <f t="shared" ref="H715:H778" si="46">IF($B715="","",IF(LEFT($B715,6)="606880","emballages",IF(LEFT($B715,4)="6068","emballages",IF(LEFT($B715,3)="606","energie_dechets",IF(LEFT($B715,3)="164","tresorerie_financement",IF(LEFT($B715,2)="20","immobilisations",IF(LEFT($B715,2)="21","immobilisations",IF(LEFT($B715,2)="22","immobilisations",IF(LEFT($B715,2)="23","immobilisations",IF(LEFT($B715,2)="28","immobilisations",IF(LEFT($B715,2)="40","fournisseurs",IF(LEFT($B715,2)="41","clients",IF(LEFT($B715,2)="32","stocks",IF(LEFT($B715,2)="60","charges",IF(LEFT($B715,2)="61","services",IF(LEFT($B715,2)="62","personnel",IF(LEFT($B715,2)="63","fiscal",IF(LEFT($B715,2)="64","financier","autres"))))))))))))))))))</f>
        <v/>
      </c>
      <c r="I715" s="1" t="str">
        <f>IF($L715="","",INDEX(Ref_AccountRules,$L715,3))</f>
        <v/>
      </c>
      <c r="J715" s="1" t="str">
        <f>IF($L715="","",INDEX(Ref_AccountRules,$L715,4))</f>
        <v/>
      </c>
      <c r="K715" s="1" t="str">
        <f>IF($L715="","",INDEX(Ref_AccountRules,$L715,5))</f>
        <v/>
      </c>
      <c r="L715" s="1" t="str">
        <f t="shared" ref="L715:L778" si="47">IF($B715="","",IF(LEFT($B715,3)="215",1,IF(LEFT($B715,4)="2183",2,IF(LEFT($B715,3)="401",3,IF(LEFT($B715,3)="411",4,IF(LEFT($B715,3)="322",5,IF(LEFT($B715,4)="3220",6,IF(LEFT($B715,5)="32200",7,IF(LEFT($B715,3)="625",8,IF(LEFT($B715,3)="606",9,IF(LEFT($B715,3)="164",10,IF(LEFT($B715,6)="606880",11,""))))))))))))</f>
        <v/>
      </c>
    </row>
    <row r="716" spans="2:12" x14ac:dyDescent="0.35">
      <c r="B716" s="12"/>
      <c r="C716" s="11"/>
      <c r="D716" s="11"/>
      <c r="E716" s="11"/>
      <c r="F716" s="1" t="str">
        <f t="shared" si="44"/>
        <v/>
      </c>
      <c r="G716" s="1" t="str">
        <f t="shared" si="45"/>
        <v/>
      </c>
      <c r="H716" s="1" t="str">
        <f t="shared" si="46"/>
        <v/>
      </c>
      <c r="I716" s="1" t="str">
        <f>IF($L716="","",INDEX(Ref_AccountRules,$L716,3))</f>
        <v/>
      </c>
      <c r="J716" s="1" t="str">
        <f>IF($L716="","",INDEX(Ref_AccountRules,$L716,4))</f>
        <v/>
      </c>
      <c r="K716" s="1" t="str">
        <f>IF($L716="","",INDEX(Ref_AccountRules,$L716,5))</f>
        <v/>
      </c>
      <c r="L716" s="1" t="str">
        <f t="shared" si="47"/>
        <v/>
      </c>
    </row>
    <row r="717" spans="2:12" x14ac:dyDescent="0.35">
      <c r="B717" s="12"/>
      <c r="C717" s="11"/>
      <c r="D717" s="11"/>
      <c r="E717" s="11"/>
      <c r="F717" s="1" t="str">
        <f t="shared" si="44"/>
        <v/>
      </c>
      <c r="G717" s="1" t="str">
        <f t="shared" si="45"/>
        <v/>
      </c>
      <c r="H717" s="1" t="str">
        <f t="shared" si="46"/>
        <v/>
      </c>
      <c r="I717" s="1" t="str">
        <f>IF($L717="","",INDEX(Ref_AccountRules,$L717,3))</f>
        <v/>
      </c>
      <c r="J717" s="1" t="str">
        <f>IF($L717="","",INDEX(Ref_AccountRules,$L717,4))</f>
        <v/>
      </c>
      <c r="K717" s="1" t="str">
        <f>IF($L717="","",INDEX(Ref_AccountRules,$L717,5))</f>
        <v/>
      </c>
      <c r="L717" s="1" t="str">
        <f t="shared" si="47"/>
        <v/>
      </c>
    </row>
    <row r="718" spans="2:12" x14ac:dyDescent="0.35">
      <c r="B718" s="12"/>
      <c r="C718" s="11"/>
      <c r="D718" s="11"/>
      <c r="E718" s="11"/>
      <c r="F718" s="1" t="str">
        <f t="shared" si="44"/>
        <v/>
      </c>
      <c r="G718" s="1" t="str">
        <f t="shared" si="45"/>
        <v/>
      </c>
      <c r="H718" s="1" t="str">
        <f t="shared" si="46"/>
        <v/>
      </c>
      <c r="I718" s="1" t="str">
        <f>IF($L718="","",INDEX(Ref_AccountRules,$L718,3))</f>
        <v/>
      </c>
      <c r="J718" s="1" t="str">
        <f>IF($L718="","",INDEX(Ref_AccountRules,$L718,4))</f>
        <v/>
      </c>
      <c r="K718" s="1" t="str">
        <f>IF($L718="","",INDEX(Ref_AccountRules,$L718,5))</f>
        <v/>
      </c>
      <c r="L718" s="1" t="str">
        <f t="shared" si="47"/>
        <v/>
      </c>
    </row>
    <row r="719" spans="2:12" x14ac:dyDescent="0.35">
      <c r="B719" s="12"/>
      <c r="C719" s="11"/>
      <c r="D719" s="11"/>
      <c r="E719" s="11"/>
      <c r="F719" s="1" t="str">
        <f t="shared" si="44"/>
        <v/>
      </c>
      <c r="G719" s="1" t="str">
        <f t="shared" si="45"/>
        <v/>
      </c>
      <c r="H719" s="1" t="str">
        <f t="shared" si="46"/>
        <v/>
      </c>
      <c r="I719" s="1" t="str">
        <f>IF($L719="","",INDEX(Ref_AccountRules,$L719,3))</f>
        <v/>
      </c>
      <c r="J719" s="1" t="str">
        <f>IF($L719="","",INDEX(Ref_AccountRules,$L719,4))</f>
        <v/>
      </c>
      <c r="K719" s="1" t="str">
        <f>IF($L719="","",INDEX(Ref_AccountRules,$L719,5))</f>
        <v/>
      </c>
      <c r="L719" s="1" t="str">
        <f t="shared" si="47"/>
        <v/>
      </c>
    </row>
    <row r="720" spans="2:12" x14ac:dyDescent="0.35">
      <c r="B720" s="12"/>
      <c r="C720" s="11"/>
      <c r="D720" s="11"/>
      <c r="E720" s="11"/>
      <c r="F720" s="1" t="str">
        <f t="shared" si="44"/>
        <v/>
      </c>
      <c r="G720" s="1" t="str">
        <f t="shared" si="45"/>
        <v/>
      </c>
      <c r="H720" s="1" t="str">
        <f t="shared" si="46"/>
        <v/>
      </c>
      <c r="I720" s="1" t="str">
        <f>IF($L720="","",INDEX(Ref_AccountRules,$L720,3))</f>
        <v/>
      </c>
      <c r="J720" s="1" t="str">
        <f>IF($L720="","",INDEX(Ref_AccountRules,$L720,4))</f>
        <v/>
      </c>
      <c r="K720" s="1" t="str">
        <f>IF($L720="","",INDEX(Ref_AccountRules,$L720,5))</f>
        <v/>
      </c>
      <c r="L720" s="1" t="str">
        <f t="shared" si="47"/>
        <v/>
      </c>
    </row>
    <row r="721" spans="2:12" x14ac:dyDescent="0.35">
      <c r="B721" s="12"/>
      <c r="C721" s="11"/>
      <c r="D721" s="11"/>
      <c r="E721" s="11"/>
      <c r="F721" s="1" t="str">
        <f t="shared" si="44"/>
        <v/>
      </c>
      <c r="G721" s="1" t="str">
        <f t="shared" si="45"/>
        <v/>
      </c>
      <c r="H721" s="1" t="str">
        <f t="shared" si="46"/>
        <v/>
      </c>
      <c r="I721" s="1" t="str">
        <f>IF($L721="","",INDEX(Ref_AccountRules,$L721,3))</f>
        <v/>
      </c>
      <c r="J721" s="1" t="str">
        <f>IF($L721="","",INDEX(Ref_AccountRules,$L721,4))</f>
        <v/>
      </c>
      <c r="K721" s="1" t="str">
        <f>IF($L721="","",INDEX(Ref_AccountRules,$L721,5))</f>
        <v/>
      </c>
      <c r="L721" s="1" t="str">
        <f t="shared" si="47"/>
        <v/>
      </c>
    </row>
    <row r="722" spans="2:12" x14ac:dyDescent="0.35">
      <c r="B722" s="12"/>
      <c r="C722" s="11"/>
      <c r="D722" s="11"/>
      <c r="E722" s="11"/>
      <c r="F722" s="1" t="str">
        <f t="shared" si="44"/>
        <v/>
      </c>
      <c r="G722" s="1" t="str">
        <f t="shared" si="45"/>
        <v/>
      </c>
      <c r="H722" s="1" t="str">
        <f t="shared" si="46"/>
        <v/>
      </c>
      <c r="I722" s="1" t="str">
        <f>IF($L722="","",INDEX(Ref_AccountRules,$L722,3))</f>
        <v/>
      </c>
      <c r="J722" s="1" t="str">
        <f>IF($L722="","",INDEX(Ref_AccountRules,$L722,4))</f>
        <v/>
      </c>
      <c r="K722" s="1" t="str">
        <f>IF($L722="","",INDEX(Ref_AccountRules,$L722,5))</f>
        <v/>
      </c>
      <c r="L722" s="1" t="str">
        <f t="shared" si="47"/>
        <v/>
      </c>
    </row>
    <row r="723" spans="2:12" x14ac:dyDescent="0.35">
      <c r="B723" s="12"/>
      <c r="C723" s="11"/>
      <c r="D723" s="11"/>
      <c r="E723" s="11"/>
      <c r="F723" s="1" t="str">
        <f t="shared" si="44"/>
        <v/>
      </c>
      <c r="G723" s="1" t="str">
        <f t="shared" si="45"/>
        <v/>
      </c>
      <c r="H723" s="1" t="str">
        <f t="shared" si="46"/>
        <v/>
      </c>
      <c r="I723" s="1" t="str">
        <f>IF($L723="","",INDEX(Ref_AccountRules,$L723,3))</f>
        <v/>
      </c>
      <c r="J723" s="1" t="str">
        <f>IF($L723="","",INDEX(Ref_AccountRules,$L723,4))</f>
        <v/>
      </c>
      <c r="K723" s="1" t="str">
        <f>IF($L723="","",INDEX(Ref_AccountRules,$L723,5))</f>
        <v/>
      </c>
      <c r="L723" s="1" t="str">
        <f t="shared" si="47"/>
        <v/>
      </c>
    </row>
    <row r="724" spans="2:12" x14ac:dyDescent="0.35">
      <c r="B724" s="12"/>
      <c r="C724" s="11"/>
      <c r="D724" s="11"/>
      <c r="E724" s="11"/>
      <c r="F724" s="1" t="str">
        <f t="shared" si="44"/>
        <v/>
      </c>
      <c r="G724" s="1" t="str">
        <f t="shared" si="45"/>
        <v/>
      </c>
      <c r="H724" s="1" t="str">
        <f t="shared" si="46"/>
        <v/>
      </c>
      <c r="I724" s="1" t="str">
        <f>IF($L724="","",INDEX(Ref_AccountRules,$L724,3))</f>
        <v/>
      </c>
      <c r="J724" s="1" t="str">
        <f>IF($L724="","",INDEX(Ref_AccountRules,$L724,4))</f>
        <v/>
      </c>
      <c r="K724" s="1" t="str">
        <f>IF($L724="","",INDEX(Ref_AccountRules,$L724,5))</f>
        <v/>
      </c>
      <c r="L724" s="1" t="str">
        <f t="shared" si="47"/>
        <v/>
      </c>
    </row>
    <row r="725" spans="2:12" x14ac:dyDescent="0.35">
      <c r="B725" s="12"/>
      <c r="C725" s="11"/>
      <c r="D725" s="11"/>
      <c r="E725" s="11"/>
      <c r="F725" s="1" t="str">
        <f t="shared" si="44"/>
        <v/>
      </c>
      <c r="G725" s="1" t="str">
        <f t="shared" si="45"/>
        <v/>
      </c>
      <c r="H725" s="1" t="str">
        <f t="shared" si="46"/>
        <v/>
      </c>
      <c r="I725" s="1" t="str">
        <f>IF($L725="","",INDEX(Ref_AccountRules,$L725,3))</f>
        <v/>
      </c>
      <c r="J725" s="1" t="str">
        <f>IF($L725="","",INDEX(Ref_AccountRules,$L725,4))</f>
        <v/>
      </c>
      <c r="K725" s="1" t="str">
        <f>IF($L725="","",INDEX(Ref_AccountRules,$L725,5))</f>
        <v/>
      </c>
      <c r="L725" s="1" t="str">
        <f t="shared" si="47"/>
        <v/>
      </c>
    </row>
    <row r="726" spans="2:12" x14ac:dyDescent="0.35">
      <c r="B726" s="12"/>
      <c r="C726" s="11"/>
      <c r="D726" s="11"/>
      <c r="E726" s="11"/>
      <c r="F726" s="1" t="str">
        <f t="shared" si="44"/>
        <v/>
      </c>
      <c r="G726" s="1" t="str">
        <f t="shared" si="45"/>
        <v/>
      </c>
      <c r="H726" s="1" t="str">
        <f t="shared" si="46"/>
        <v/>
      </c>
      <c r="I726" s="1" t="str">
        <f>IF($L726="","",INDEX(Ref_AccountRules,$L726,3))</f>
        <v/>
      </c>
      <c r="J726" s="1" t="str">
        <f>IF($L726="","",INDEX(Ref_AccountRules,$L726,4))</f>
        <v/>
      </c>
      <c r="K726" s="1" t="str">
        <f>IF($L726="","",INDEX(Ref_AccountRules,$L726,5))</f>
        <v/>
      </c>
      <c r="L726" s="1" t="str">
        <f t="shared" si="47"/>
        <v/>
      </c>
    </row>
    <row r="727" spans="2:12" x14ac:dyDescent="0.35">
      <c r="B727" s="12"/>
      <c r="C727" s="11"/>
      <c r="D727" s="11"/>
      <c r="E727" s="11"/>
      <c r="F727" s="1" t="str">
        <f t="shared" si="44"/>
        <v/>
      </c>
      <c r="G727" s="1" t="str">
        <f t="shared" si="45"/>
        <v/>
      </c>
      <c r="H727" s="1" t="str">
        <f t="shared" si="46"/>
        <v/>
      </c>
      <c r="I727" s="1" t="str">
        <f>IF($L727="","",INDEX(Ref_AccountRules,$L727,3))</f>
        <v/>
      </c>
      <c r="J727" s="1" t="str">
        <f>IF($L727="","",INDEX(Ref_AccountRules,$L727,4))</f>
        <v/>
      </c>
      <c r="K727" s="1" t="str">
        <f>IF($L727="","",INDEX(Ref_AccountRules,$L727,5))</f>
        <v/>
      </c>
      <c r="L727" s="1" t="str">
        <f t="shared" si="47"/>
        <v/>
      </c>
    </row>
    <row r="728" spans="2:12" x14ac:dyDescent="0.35">
      <c r="B728" s="12"/>
      <c r="C728" s="11"/>
      <c r="D728" s="11"/>
      <c r="E728" s="11"/>
      <c r="F728" s="1" t="str">
        <f t="shared" si="44"/>
        <v/>
      </c>
      <c r="G728" s="1" t="str">
        <f t="shared" si="45"/>
        <v/>
      </c>
      <c r="H728" s="1" t="str">
        <f t="shared" si="46"/>
        <v/>
      </c>
      <c r="I728" s="1" t="str">
        <f>IF($L728="","",INDEX(Ref_AccountRules,$L728,3))</f>
        <v/>
      </c>
      <c r="J728" s="1" t="str">
        <f>IF($L728="","",INDEX(Ref_AccountRules,$L728,4))</f>
        <v/>
      </c>
      <c r="K728" s="1" t="str">
        <f>IF($L728="","",INDEX(Ref_AccountRules,$L728,5))</f>
        <v/>
      </c>
      <c r="L728" s="1" t="str">
        <f t="shared" si="47"/>
        <v/>
      </c>
    </row>
    <row r="729" spans="2:12" x14ac:dyDescent="0.35">
      <c r="B729" s="12"/>
      <c r="C729" s="11"/>
      <c r="D729" s="11"/>
      <c r="E729" s="11"/>
      <c r="F729" s="1" t="str">
        <f t="shared" si="44"/>
        <v/>
      </c>
      <c r="G729" s="1" t="str">
        <f t="shared" si="45"/>
        <v/>
      </c>
      <c r="H729" s="1" t="str">
        <f t="shared" si="46"/>
        <v/>
      </c>
      <c r="I729" s="1" t="str">
        <f>IF($L729="","",INDEX(Ref_AccountRules,$L729,3))</f>
        <v/>
      </c>
      <c r="J729" s="1" t="str">
        <f>IF($L729="","",INDEX(Ref_AccountRules,$L729,4))</f>
        <v/>
      </c>
      <c r="K729" s="1" t="str">
        <f>IF($L729="","",INDEX(Ref_AccountRules,$L729,5))</f>
        <v/>
      </c>
      <c r="L729" s="1" t="str">
        <f t="shared" si="47"/>
        <v/>
      </c>
    </row>
    <row r="730" spans="2:12" x14ac:dyDescent="0.35">
      <c r="B730" s="12"/>
      <c r="C730" s="11"/>
      <c r="D730" s="11"/>
      <c r="E730" s="11"/>
      <c r="F730" s="1" t="str">
        <f t="shared" si="44"/>
        <v/>
      </c>
      <c r="G730" s="1" t="str">
        <f t="shared" si="45"/>
        <v/>
      </c>
      <c r="H730" s="1" t="str">
        <f t="shared" si="46"/>
        <v/>
      </c>
      <c r="I730" s="1" t="str">
        <f>IF($L730="","",INDEX(Ref_AccountRules,$L730,3))</f>
        <v/>
      </c>
      <c r="J730" s="1" t="str">
        <f>IF($L730="","",INDEX(Ref_AccountRules,$L730,4))</f>
        <v/>
      </c>
      <c r="K730" s="1" t="str">
        <f>IF($L730="","",INDEX(Ref_AccountRules,$L730,5))</f>
        <v/>
      </c>
      <c r="L730" s="1" t="str">
        <f t="shared" si="47"/>
        <v/>
      </c>
    </row>
    <row r="731" spans="2:12" x14ac:dyDescent="0.35">
      <c r="B731" s="12"/>
      <c r="C731" s="11"/>
      <c r="D731" s="11"/>
      <c r="E731" s="11"/>
      <c r="F731" s="1" t="str">
        <f t="shared" si="44"/>
        <v/>
      </c>
      <c r="G731" s="1" t="str">
        <f t="shared" si="45"/>
        <v/>
      </c>
      <c r="H731" s="1" t="str">
        <f t="shared" si="46"/>
        <v/>
      </c>
      <c r="I731" s="1" t="str">
        <f>IF($L731="","",INDEX(Ref_AccountRules,$L731,3))</f>
        <v/>
      </c>
      <c r="J731" s="1" t="str">
        <f>IF($L731="","",INDEX(Ref_AccountRules,$L731,4))</f>
        <v/>
      </c>
      <c r="K731" s="1" t="str">
        <f>IF($L731="","",INDEX(Ref_AccountRules,$L731,5))</f>
        <v/>
      </c>
      <c r="L731" s="1" t="str">
        <f t="shared" si="47"/>
        <v/>
      </c>
    </row>
    <row r="732" spans="2:12" x14ac:dyDescent="0.35">
      <c r="B732" s="12"/>
      <c r="C732" s="11"/>
      <c r="D732" s="11"/>
      <c r="E732" s="11"/>
      <c r="F732" s="1" t="str">
        <f t="shared" si="44"/>
        <v/>
      </c>
      <c r="G732" s="1" t="str">
        <f t="shared" si="45"/>
        <v/>
      </c>
      <c r="H732" s="1" t="str">
        <f t="shared" si="46"/>
        <v/>
      </c>
      <c r="I732" s="1" t="str">
        <f>IF($L732="","",INDEX(Ref_AccountRules,$L732,3))</f>
        <v/>
      </c>
      <c r="J732" s="1" t="str">
        <f>IF($L732="","",INDEX(Ref_AccountRules,$L732,4))</f>
        <v/>
      </c>
      <c r="K732" s="1" t="str">
        <f>IF($L732="","",INDEX(Ref_AccountRules,$L732,5))</f>
        <v/>
      </c>
      <c r="L732" s="1" t="str">
        <f t="shared" si="47"/>
        <v/>
      </c>
    </row>
    <row r="733" spans="2:12" x14ac:dyDescent="0.35">
      <c r="B733" s="12"/>
      <c r="C733" s="11"/>
      <c r="D733" s="11"/>
      <c r="E733" s="11"/>
      <c r="F733" s="1" t="str">
        <f t="shared" si="44"/>
        <v/>
      </c>
      <c r="G733" s="1" t="str">
        <f t="shared" si="45"/>
        <v/>
      </c>
      <c r="H733" s="1" t="str">
        <f t="shared" si="46"/>
        <v/>
      </c>
      <c r="I733" s="1" t="str">
        <f>IF($L733="","",INDEX(Ref_AccountRules,$L733,3))</f>
        <v/>
      </c>
      <c r="J733" s="1" t="str">
        <f>IF($L733="","",INDEX(Ref_AccountRules,$L733,4))</f>
        <v/>
      </c>
      <c r="K733" s="1" t="str">
        <f>IF($L733="","",INDEX(Ref_AccountRules,$L733,5))</f>
        <v/>
      </c>
      <c r="L733" s="1" t="str">
        <f t="shared" si="47"/>
        <v/>
      </c>
    </row>
    <row r="734" spans="2:12" x14ac:dyDescent="0.35">
      <c r="B734" s="12"/>
      <c r="C734" s="11"/>
      <c r="D734" s="11"/>
      <c r="E734" s="11"/>
      <c r="F734" s="1" t="str">
        <f t="shared" si="44"/>
        <v/>
      </c>
      <c r="G734" s="1" t="str">
        <f t="shared" si="45"/>
        <v/>
      </c>
      <c r="H734" s="1" t="str">
        <f t="shared" si="46"/>
        <v/>
      </c>
      <c r="I734" s="1" t="str">
        <f>IF($L734="","",INDEX(Ref_AccountRules,$L734,3))</f>
        <v/>
      </c>
      <c r="J734" s="1" t="str">
        <f>IF($L734="","",INDEX(Ref_AccountRules,$L734,4))</f>
        <v/>
      </c>
      <c r="K734" s="1" t="str">
        <f>IF($L734="","",INDEX(Ref_AccountRules,$L734,5))</f>
        <v/>
      </c>
      <c r="L734" s="1" t="str">
        <f t="shared" si="47"/>
        <v/>
      </c>
    </row>
    <row r="735" spans="2:12" x14ac:dyDescent="0.35">
      <c r="B735" s="12"/>
      <c r="C735" s="11"/>
      <c r="D735" s="11"/>
      <c r="E735" s="11"/>
      <c r="F735" s="1" t="str">
        <f t="shared" si="44"/>
        <v/>
      </c>
      <c r="G735" s="1" t="str">
        <f t="shared" si="45"/>
        <v/>
      </c>
      <c r="H735" s="1" t="str">
        <f t="shared" si="46"/>
        <v/>
      </c>
      <c r="I735" s="1" t="str">
        <f>IF($L735="","",INDEX(Ref_AccountRules,$L735,3))</f>
        <v/>
      </c>
      <c r="J735" s="1" t="str">
        <f>IF($L735="","",INDEX(Ref_AccountRules,$L735,4))</f>
        <v/>
      </c>
      <c r="K735" s="1" t="str">
        <f>IF($L735="","",INDEX(Ref_AccountRules,$L735,5))</f>
        <v/>
      </c>
      <c r="L735" s="1" t="str">
        <f t="shared" si="47"/>
        <v/>
      </c>
    </row>
    <row r="736" spans="2:12" x14ac:dyDescent="0.35">
      <c r="B736" s="12"/>
      <c r="C736" s="11"/>
      <c r="D736" s="11"/>
      <c r="E736" s="11"/>
      <c r="F736" s="1" t="str">
        <f t="shared" si="44"/>
        <v/>
      </c>
      <c r="G736" s="1" t="str">
        <f t="shared" si="45"/>
        <v/>
      </c>
      <c r="H736" s="1" t="str">
        <f t="shared" si="46"/>
        <v/>
      </c>
      <c r="I736" s="1" t="str">
        <f>IF($L736="","",INDEX(Ref_AccountRules,$L736,3))</f>
        <v/>
      </c>
      <c r="J736" s="1" t="str">
        <f>IF($L736="","",INDEX(Ref_AccountRules,$L736,4))</f>
        <v/>
      </c>
      <c r="K736" s="1" t="str">
        <f>IF($L736="","",INDEX(Ref_AccountRules,$L736,5))</f>
        <v/>
      </c>
      <c r="L736" s="1" t="str">
        <f t="shared" si="47"/>
        <v/>
      </c>
    </row>
    <row r="737" spans="2:12" x14ac:dyDescent="0.35">
      <c r="B737" s="12"/>
      <c r="C737" s="11"/>
      <c r="D737" s="11"/>
      <c r="E737" s="11"/>
      <c r="F737" s="1" t="str">
        <f t="shared" si="44"/>
        <v/>
      </c>
      <c r="G737" s="1" t="str">
        <f t="shared" si="45"/>
        <v/>
      </c>
      <c r="H737" s="1" t="str">
        <f t="shared" si="46"/>
        <v/>
      </c>
      <c r="I737" s="1" t="str">
        <f>IF($L737="","",INDEX(Ref_AccountRules,$L737,3))</f>
        <v/>
      </c>
      <c r="J737" s="1" t="str">
        <f>IF($L737="","",INDEX(Ref_AccountRules,$L737,4))</f>
        <v/>
      </c>
      <c r="K737" s="1" t="str">
        <f>IF($L737="","",INDEX(Ref_AccountRules,$L737,5))</f>
        <v/>
      </c>
      <c r="L737" s="1" t="str">
        <f t="shared" si="47"/>
        <v/>
      </c>
    </row>
    <row r="738" spans="2:12" x14ac:dyDescent="0.35">
      <c r="B738" s="12"/>
      <c r="C738" s="11"/>
      <c r="D738" s="11"/>
      <c r="E738" s="11"/>
      <c r="F738" s="1" t="str">
        <f t="shared" si="44"/>
        <v/>
      </c>
      <c r="G738" s="1" t="str">
        <f t="shared" si="45"/>
        <v/>
      </c>
      <c r="H738" s="1" t="str">
        <f t="shared" si="46"/>
        <v/>
      </c>
      <c r="I738" s="1" t="str">
        <f>IF($L738="","",INDEX(Ref_AccountRules,$L738,3))</f>
        <v/>
      </c>
      <c r="J738" s="1" t="str">
        <f>IF($L738="","",INDEX(Ref_AccountRules,$L738,4))</f>
        <v/>
      </c>
      <c r="K738" s="1" t="str">
        <f>IF($L738="","",INDEX(Ref_AccountRules,$L738,5))</f>
        <v/>
      </c>
      <c r="L738" s="1" t="str">
        <f t="shared" si="47"/>
        <v/>
      </c>
    </row>
    <row r="739" spans="2:12" x14ac:dyDescent="0.35">
      <c r="B739" s="12"/>
      <c r="C739" s="11"/>
      <c r="D739" s="11"/>
      <c r="E739" s="11"/>
      <c r="F739" s="1" t="str">
        <f t="shared" si="44"/>
        <v/>
      </c>
      <c r="G739" s="1" t="str">
        <f t="shared" si="45"/>
        <v/>
      </c>
      <c r="H739" s="1" t="str">
        <f t="shared" si="46"/>
        <v/>
      </c>
      <c r="I739" s="1" t="str">
        <f>IF($L739="","",INDEX(Ref_AccountRules,$L739,3))</f>
        <v/>
      </c>
      <c r="J739" s="1" t="str">
        <f>IF($L739="","",INDEX(Ref_AccountRules,$L739,4))</f>
        <v/>
      </c>
      <c r="K739" s="1" t="str">
        <f>IF($L739="","",INDEX(Ref_AccountRules,$L739,5))</f>
        <v/>
      </c>
      <c r="L739" s="1" t="str">
        <f t="shared" si="47"/>
        <v/>
      </c>
    </row>
    <row r="740" spans="2:12" x14ac:dyDescent="0.35">
      <c r="B740" s="12"/>
      <c r="C740" s="11"/>
      <c r="D740" s="11"/>
      <c r="E740" s="11"/>
      <c r="F740" s="1" t="str">
        <f t="shared" si="44"/>
        <v/>
      </c>
      <c r="G740" s="1" t="str">
        <f t="shared" si="45"/>
        <v/>
      </c>
      <c r="H740" s="1" t="str">
        <f t="shared" si="46"/>
        <v/>
      </c>
      <c r="I740" s="1" t="str">
        <f>IF($L740="","",INDEX(Ref_AccountRules,$L740,3))</f>
        <v/>
      </c>
      <c r="J740" s="1" t="str">
        <f>IF($L740="","",INDEX(Ref_AccountRules,$L740,4))</f>
        <v/>
      </c>
      <c r="K740" s="1" t="str">
        <f>IF($L740="","",INDEX(Ref_AccountRules,$L740,5))</f>
        <v/>
      </c>
      <c r="L740" s="1" t="str">
        <f t="shared" si="47"/>
        <v/>
      </c>
    </row>
    <row r="741" spans="2:12" x14ac:dyDescent="0.35">
      <c r="B741" s="12"/>
      <c r="C741" s="11"/>
      <c r="D741" s="11"/>
      <c r="E741" s="11"/>
      <c r="F741" s="1" t="str">
        <f t="shared" si="44"/>
        <v/>
      </c>
      <c r="G741" s="1" t="str">
        <f t="shared" si="45"/>
        <v/>
      </c>
      <c r="H741" s="1" t="str">
        <f t="shared" si="46"/>
        <v/>
      </c>
      <c r="I741" s="1" t="str">
        <f>IF($L741="","",INDEX(Ref_AccountRules,$L741,3))</f>
        <v/>
      </c>
      <c r="J741" s="1" t="str">
        <f>IF($L741="","",INDEX(Ref_AccountRules,$L741,4))</f>
        <v/>
      </c>
      <c r="K741" s="1" t="str">
        <f>IF($L741="","",INDEX(Ref_AccountRules,$L741,5))</f>
        <v/>
      </c>
      <c r="L741" s="1" t="str">
        <f t="shared" si="47"/>
        <v/>
      </c>
    </row>
    <row r="742" spans="2:12" x14ac:dyDescent="0.35">
      <c r="B742" s="12"/>
      <c r="C742" s="11"/>
      <c r="D742" s="11"/>
      <c r="E742" s="11"/>
      <c r="F742" s="1" t="str">
        <f t="shared" si="44"/>
        <v/>
      </c>
      <c r="G742" s="1" t="str">
        <f t="shared" si="45"/>
        <v/>
      </c>
      <c r="H742" s="1" t="str">
        <f t="shared" si="46"/>
        <v/>
      </c>
      <c r="I742" s="1" t="str">
        <f>IF($L742="","",INDEX(Ref_AccountRules,$L742,3))</f>
        <v/>
      </c>
      <c r="J742" s="1" t="str">
        <f>IF($L742="","",INDEX(Ref_AccountRules,$L742,4))</f>
        <v/>
      </c>
      <c r="K742" s="1" t="str">
        <f>IF($L742="","",INDEX(Ref_AccountRules,$L742,5))</f>
        <v/>
      </c>
      <c r="L742" s="1" t="str">
        <f t="shared" si="47"/>
        <v/>
      </c>
    </row>
    <row r="743" spans="2:12" x14ac:dyDescent="0.35">
      <c r="B743" s="12"/>
      <c r="C743" s="11"/>
      <c r="D743" s="11"/>
      <c r="E743" s="11"/>
      <c r="F743" s="1" t="str">
        <f t="shared" si="44"/>
        <v/>
      </c>
      <c r="G743" s="1" t="str">
        <f t="shared" si="45"/>
        <v/>
      </c>
      <c r="H743" s="1" t="str">
        <f t="shared" si="46"/>
        <v/>
      </c>
      <c r="I743" s="1" t="str">
        <f>IF($L743="","",INDEX(Ref_AccountRules,$L743,3))</f>
        <v/>
      </c>
      <c r="J743" s="1" t="str">
        <f>IF($L743="","",INDEX(Ref_AccountRules,$L743,4))</f>
        <v/>
      </c>
      <c r="K743" s="1" t="str">
        <f>IF($L743="","",INDEX(Ref_AccountRules,$L743,5))</f>
        <v/>
      </c>
      <c r="L743" s="1" t="str">
        <f t="shared" si="47"/>
        <v/>
      </c>
    </row>
    <row r="744" spans="2:12" x14ac:dyDescent="0.35">
      <c r="B744" s="12"/>
      <c r="C744" s="11"/>
      <c r="D744" s="11"/>
      <c r="E744" s="11"/>
      <c r="F744" s="1" t="str">
        <f t="shared" si="44"/>
        <v/>
      </c>
      <c r="G744" s="1" t="str">
        <f t="shared" si="45"/>
        <v/>
      </c>
      <c r="H744" s="1" t="str">
        <f t="shared" si="46"/>
        <v/>
      </c>
      <c r="I744" s="1" t="str">
        <f>IF($L744="","",INDEX(Ref_AccountRules,$L744,3))</f>
        <v/>
      </c>
      <c r="J744" s="1" t="str">
        <f>IF($L744="","",INDEX(Ref_AccountRules,$L744,4))</f>
        <v/>
      </c>
      <c r="K744" s="1" t="str">
        <f>IF($L744="","",INDEX(Ref_AccountRules,$L744,5))</f>
        <v/>
      </c>
      <c r="L744" s="1" t="str">
        <f t="shared" si="47"/>
        <v/>
      </c>
    </row>
    <row r="745" spans="2:12" x14ac:dyDescent="0.35">
      <c r="B745" s="12"/>
      <c r="C745" s="11"/>
      <c r="D745" s="11"/>
      <c r="E745" s="11"/>
      <c r="F745" s="1" t="str">
        <f t="shared" si="44"/>
        <v/>
      </c>
      <c r="G745" s="1" t="str">
        <f t="shared" si="45"/>
        <v/>
      </c>
      <c r="H745" s="1" t="str">
        <f t="shared" si="46"/>
        <v/>
      </c>
      <c r="I745" s="1" t="str">
        <f>IF($L745="","",INDEX(Ref_AccountRules,$L745,3))</f>
        <v/>
      </c>
      <c r="J745" s="1" t="str">
        <f>IF($L745="","",INDEX(Ref_AccountRules,$L745,4))</f>
        <v/>
      </c>
      <c r="K745" s="1" t="str">
        <f>IF($L745="","",INDEX(Ref_AccountRules,$L745,5))</f>
        <v/>
      </c>
      <c r="L745" s="1" t="str">
        <f t="shared" si="47"/>
        <v/>
      </c>
    </row>
    <row r="746" spans="2:12" x14ac:dyDescent="0.35">
      <c r="B746" s="12"/>
      <c r="C746" s="11"/>
      <c r="D746" s="11"/>
      <c r="E746" s="11"/>
      <c r="F746" s="1" t="str">
        <f t="shared" si="44"/>
        <v/>
      </c>
      <c r="G746" s="1" t="str">
        <f t="shared" si="45"/>
        <v/>
      </c>
      <c r="H746" s="1" t="str">
        <f t="shared" si="46"/>
        <v/>
      </c>
      <c r="I746" s="1" t="str">
        <f>IF($L746="","",INDEX(Ref_AccountRules,$L746,3))</f>
        <v/>
      </c>
      <c r="J746" s="1" t="str">
        <f>IF($L746="","",INDEX(Ref_AccountRules,$L746,4))</f>
        <v/>
      </c>
      <c r="K746" s="1" t="str">
        <f>IF($L746="","",INDEX(Ref_AccountRules,$L746,5))</f>
        <v/>
      </c>
      <c r="L746" s="1" t="str">
        <f t="shared" si="47"/>
        <v/>
      </c>
    </row>
    <row r="747" spans="2:12" x14ac:dyDescent="0.35">
      <c r="B747" s="12"/>
      <c r="C747" s="11"/>
      <c r="D747" s="11"/>
      <c r="E747" s="11"/>
      <c r="F747" s="1" t="str">
        <f t="shared" si="44"/>
        <v/>
      </c>
      <c r="G747" s="1" t="str">
        <f t="shared" si="45"/>
        <v/>
      </c>
      <c r="H747" s="1" t="str">
        <f t="shared" si="46"/>
        <v/>
      </c>
      <c r="I747" s="1" t="str">
        <f>IF($L747="","",INDEX(Ref_AccountRules,$L747,3))</f>
        <v/>
      </c>
      <c r="J747" s="1" t="str">
        <f>IF($L747="","",INDEX(Ref_AccountRules,$L747,4))</f>
        <v/>
      </c>
      <c r="K747" s="1" t="str">
        <f>IF($L747="","",INDEX(Ref_AccountRules,$L747,5))</f>
        <v/>
      </c>
      <c r="L747" s="1" t="str">
        <f t="shared" si="47"/>
        <v/>
      </c>
    </row>
    <row r="748" spans="2:12" x14ac:dyDescent="0.35">
      <c r="B748" s="12"/>
      <c r="C748" s="11"/>
      <c r="D748" s="11"/>
      <c r="E748" s="11"/>
      <c r="F748" s="1" t="str">
        <f t="shared" si="44"/>
        <v/>
      </c>
      <c r="G748" s="1" t="str">
        <f t="shared" si="45"/>
        <v/>
      </c>
      <c r="H748" s="1" t="str">
        <f t="shared" si="46"/>
        <v/>
      </c>
      <c r="I748" s="1" t="str">
        <f>IF($L748="","",INDEX(Ref_AccountRules,$L748,3))</f>
        <v/>
      </c>
      <c r="J748" s="1" t="str">
        <f>IF($L748="","",INDEX(Ref_AccountRules,$L748,4))</f>
        <v/>
      </c>
      <c r="K748" s="1" t="str">
        <f>IF($L748="","",INDEX(Ref_AccountRules,$L748,5))</f>
        <v/>
      </c>
      <c r="L748" s="1" t="str">
        <f t="shared" si="47"/>
        <v/>
      </c>
    </row>
    <row r="749" spans="2:12" x14ac:dyDescent="0.35">
      <c r="B749" s="12"/>
      <c r="C749" s="11"/>
      <c r="D749" s="11"/>
      <c r="E749" s="11"/>
      <c r="F749" s="1" t="str">
        <f t="shared" si="44"/>
        <v/>
      </c>
      <c r="G749" s="1" t="str">
        <f t="shared" si="45"/>
        <v/>
      </c>
      <c r="H749" s="1" t="str">
        <f t="shared" si="46"/>
        <v/>
      </c>
      <c r="I749" s="1" t="str">
        <f>IF($L749="","",INDEX(Ref_AccountRules,$L749,3))</f>
        <v/>
      </c>
      <c r="J749" s="1" t="str">
        <f>IF($L749="","",INDEX(Ref_AccountRules,$L749,4))</f>
        <v/>
      </c>
      <c r="K749" s="1" t="str">
        <f>IF($L749="","",INDEX(Ref_AccountRules,$L749,5))</f>
        <v/>
      </c>
      <c r="L749" s="1" t="str">
        <f t="shared" si="47"/>
        <v/>
      </c>
    </row>
    <row r="750" spans="2:12" x14ac:dyDescent="0.35">
      <c r="B750" s="12"/>
      <c r="C750" s="11"/>
      <c r="D750" s="11"/>
      <c r="E750" s="11"/>
      <c r="F750" s="1" t="str">
        <f t="shared" si="44"/>
        <v/>
      </c>
      <c r="G750" s="1" t="str">
        <f t="shared" si="45"/>
        <v/>
      </c>
      <c r="H750" s="1" t="str">
        <f t="shared" si="46"/>
        <v/>
      </c>
      <c r="I750" s="1" t="str">
        <f>IF($L750="","",INDEX(Ref_AccountRules,$L750,3))</f>
        <v/>
      </c>
      <c r="J750" s="1" t="str">
        <f>IF($L750="","",INDEX(Ref_AccountRules,$L750,4))</f>
        <v/>
      </c>
      <c r="K750" s="1" t="str">
        <f>IF($L750="","",INDEX(Ref_AccountRules,$L750,5))</f>
        <v/>
      </c>
      <c r="L750" s="1" t="str">
        <f t="shared" si="47"/>
        <v/>
      </c>
    </row>
    <row r="751" spans="2:12" x14ac:dyDescent="0.35">
      <c r="B751" s="12"/>
      <c r="C751" s="11"/>
      <c r="D751" s="11"/>
      <c r="E751" s="11"/>
      <c r="F751" s="1" t="str">
        <f t="shared" si="44"/>
        <v/>
      </c>
      <c r="G751" s="1" t="str">
        <f t="shared" si="45"/>
        <v/>
      </c>
      <c r="H751" s="1" t="str">
        <f t="shared" si="46"/>
        <v/>
      </c>
      <c r="I751" s="1" t="str">
        <f>IF($L751="","",INDEX(Ref_AccountRules,$L751,3))</f>
        <v/>
      </c>
      <c r="J751" s="1" t="str">
        <f>IF($L751="","",INDEX(Ref_AccountRules,$L751,4))</f>
        <v/>
      </c>
      <c r="K751" s="1" t="str">
        <f>IF($L751="","",INDEX(Ref_AccountRules,$L751,5))</f>
        <v/>
      </c>
      <c r="L751" s="1" t="str">
        <f t="shared" si="47"/>
        <v/>
      </c>
    </row>
    <row r="752" spans="2:12" x14ac:dyDescent="0.35">
      <c r="B752" s="12"/>
      <c r="C752" s="11"/>
      <c r="D752" s="11"/>
      <c r="E752" s="11"/>
      <c r="F752" s="1" t="str">
        <f t="shared" si="44"/>
        <v/>
      </c>
      <c r="G752" s="1" t="str">
        <f t="shared" si="45"/>
        <v/>
      </c>
      <c r="H752" s="1" t="str">
        <f t="shared" si="46"/>
        <v/>
      </c>
      <c r="I752" s="1" t="str">
        <f>IF($L752="","",INDEX(Ref_AccountRules,$L752,3))</f>
        <v/>
      </c>
      <c r="J752" s="1" t="str">
        <f>IF($L752="","",INDEX(Ref_AccountRules,$L752,4))</f>
        <v/>
      </c>
      <c r="K752" s="1" t="str">
        <f>IF($L752="","",INDEX(Ref_AccountRules,$L752,5))</f>
        <v/>
      </c>
      <c r="L752" s="1" t="str">
        <f t="shared" si="47"/>
        <v/>
      </c>
    </row>
    <row r="753" spans="2:12" x14ac:dyDescent="0.35">
      <c r="B753" s="12"/>
      <c r="C753" s="11"/>
      <c r="D753" s="11"/>
      <c r="E753" s="11"/>
      <c r="F753" s="1" t="str">
        <f t="shared" si="44"/>
        <v/>
      </c>
      <c r="G753" s="1" t="str">
        <f t="shared" si="45"/>
        <v/>
      </c>
      <c r="H753" s="1" t="str">
        <f t="shared" si="46"/>
        <v/>
      </c>
      <c r="I753" s="1" t="str">
        <f>IF($L753="","",INDEX(Ref_AccountRules,$L753,3))</f>
        <v/>
      </c>
      <c r="J753" s="1" t="str">
        <f>IF($L753="","",INDEX(Ref_AccountRules,$L753,4))</f>
        <v/>
      </c>
      <c r="K753" s="1" t="str">
        <f>IF($L753="","",INDEX(Ref_AccountRules,$L753,5))</f>
        <v/>
      </c>
      <c r="L753" s="1" t="str">
        <f t="shared" si="47"/>
        <v/>
      </c>
    </row>
    <row r="754" spans="2:12" x14ac:dyDescent="0.35">
      <c r="B754" s="12"/>
      <c r="C754" s="11"/>
      <c r="D754" s="11"/>
      <c r="E754" s="11"/>
      <c r="F754" s="1" t="str">
        <f t="shared" si="44"/>
        <v/>
      </c>
      <c r="G754" s="1" t="str">
        <f t="shared" si="45"/>
        <v/>
      </c>
      <c r="H754" s="1" t="str">
        <f t="shared" si="46"/>
        <v/>
      </c>
      <c r="I754" s="1" t="str">
        <f>IF($L754="","",INDEX(Ref_AccountRules,$L754,3))</f>
        <v/>
      </c>
      <c r="J754" s="1" t="str">
        <f>IF($L754="","",INDEX(Ref_AccountRules,$L754,4))</f>
        <v/>
      </c>
      <c r="K754" s="1" t="str">
        <f>IF($L754="","",INDEX(Ref_AccountRules,$L754,5))</f>
        <v/>
      </c>
      <c r="L754" s="1" t="str">
        <f t="shared" si="47"/>
        <v/>
      </c>
    </row>
    <row r="755" spans="2:12" x14ac:dyDescent="0.35">
      <c r="B755" s="12"/>
      <c r="C755" s="11"/>
      <c r="D755" s="11"/>
      <c r="E755" s="11"/>
      <c r="F755" s="1" t="str">
        <f t="shared" si="44"/>
        <v/>
      </c>
      <c r="G755" s="1" t="str">
        <f t="shared" si="45"/>
        <v/>
      </c>
      <c r="H755" s="1" t="str">
        <f t="shared" si="46"/>
        <v/>
      </c>
      <c r="I755" s="1" t="str">
        <f>IF($L755="","",INDEX(Ref_AccountRules,$L755,3))</f>
        <v/>
      </c>
      <c r="J755" s="1" t="str">
        <f>IF($L755="","",INDEX(Ref_AccountRules,$L755,4))</f>
        <v/>
      </c>
      <c r="K755" s="1" t="str">
        <f>IF($L755="","",INDEX(Ref_AccountRules,$L755,5))</f>
        <v/>
      </c>
      <c r="L755" s="1" t="str">
        <f t="shared" si="47"/>
        <v/>
      </c>
    </row>
    <row r="756" spans="2:12" x14ac:dyDescent="0.35">
      <c r="B756" s="12"/>
      <c r="C756" s="11"/>
      <c r="D756" s="11"/>
      <c r="E756" s="11"/>
      <c r="F756" s="1" t="str">
        <f t="shared" si="44"/>
        <v/>
      </c>
      <c r="G756" s="1" t="str">
        <f t="shared" si="45"/>
        <v/>
      </c>
      <c r="H756" s="1" t="str">
        <f t="shared" si="46"/>
        <v/>
      </c>
      <c r="I756" s="1" t="str">
        <f>IF($L756="","",INDEX(Ref_AccountRules,$L756,3))</f>
        <v/>
      </c>
      <c r="J756" s="1" t="str">
        <f>IF($L756="","",INDEX(Ref_AccountRules,$L756,4))</f>
        <v/>
      </c>
      <c r="K756" s="1" t="str">
        <f>IF($L756="","",INDEX(Ref_AccountRules,$L756,5))</f>
        <v/>
      </c>
      <c r="L756" s="1" t="str">
        <f t="shared" si="47"/>
        <v/>
      </c>
    </row>
    <row r="757" spans="2:12" x14ac:dyDescent="0.35">
      <c r="B757" s="12"/>
      <c r="C757" s="11"/>
      <c r="D757" s="11"/>
      <c r="E757" s="11"/>
      <c r="F757" s="1" t="str">
        <f t="shared" si="44"/>
        <v/>
      </c>
      <c r="G757" s="1" t="str">
        <f t="shared" si="45"/>
        <v/>
      </c>
      <c r="H757" s="1" t="str">
        <f t="shared" si="46"/>
        <v/>
      </c>
      <c r="I757" s="1" t="str">
        <f>IF($L757="","",INDEX(Ref_AccountRules,$L757,3))</f>
        <v/>
      </c>
      <c r="J757" s="1" t="str">
        <f>IF($L757="","",INDEX(Ref_AccountRules,$L757,4))</f>
        <v/>
      </c>
      <c r="K757" s="1" t="str">
        <f>IF($L757="","",INDEX(Ref_AccountRules,$L757,5))</f>
        <v/>
      </c>
      <c r="L757" s="1" t="str">
        <f t="shared" si="47"/>
        <v/>
      </c>
    </row>
    <row r="758" spans="2:12" x14ac:dyDescent="0.35">
      <c r="B758" s="12"/>
      <c r="C758" s="11"/>
      <c r="D758" s="11"/>
      <c r="E758" s="11"/>
      <c r="F758" s="1" t="str">
        <f t="shared" si="44"/>
        <v/>
      </c>
      <c r="G758" s="1" t="str">
        <f t="shared" si="45"/>
        <v/>
      </c>
      <c r="H758" s="1" t="str">
        <f t="shared" si="46"/>
        <v/>
      </c>
      <c r="I758" s="1" t="str">
        <f>IF($L758="","",INDEX(Ref_AccountRules,$L758,3))</f>
        <v/>
      </c>
      <c r="J758" s="1" t="str">
        <f>IF($L758="","",INDEX(Ref_AccountRules,$L758,4))</f>
        <v/>
      </c>
      <c r="K758" s="1" t="str">
        <f>IF($L758="","",INDEX(Ref_AccountRules,$L758,5))</f>
        <v/>
      </c>
      <c r="L758" s="1" t="str">
        <f t="shared" si="47"/>
        <v/>
      </c>
    </row>
    <row r="759" spans="2:12" x14ac:dyDescent="0.35">
      <c r="B759" s="12"/>
      <c r="C759" s="11"/>
      <c r="D759" s="11"/>
      <c r="E759" s="11"/>
      <c r="F759" s="1" t="str">
        <f t="shared" si="44"/>
        <v/>
      </c>
      <c r="G759" s="1" t="str">
        <f t="shared" si="45"/>
        <v/>
      </c>
      <c r="H759" s="1" t="str">
        <f t="shared" si="46"/>
        <v/>
      </c>
      <c r="I759" s="1" t="str">
        <f>IF($L759="","",INDEX(Ref_AccountRules,$L759,3))</f>
        <v/>
      </c>
      <c r="J759" s="1" t="str">
        <f>IF($L759="","",INDEX(Ref_AccountRules,$L759,4))</f>
        <v/>
      </c>
      <c r="K759" s="1" t="str">
        <f>IF($L759="","",INDEX(Ref_AccountRules,$L759,5))</f>
        <v/>
      </c>
      <c r="L759" s="1" t="str">
        <f t="shared" si="47"/>
        <v/>
      </c>
    </row>
    <row r="760" spans="2:12" x14ac:dyDescent="0.35">
      <c r="B760" s="12"/>
      <c r="C760" s="11"/>
      <c r="D760" s="11"/>
      <c r="E760" s="11"/>
      <c r="F760" s="1" t="str">
        <f t="shared" si="44"/>
        <v/>
      </c>
      <c r="G760" s="1" t="str">
        <f t="shared" si="45"/>
        <v/>
      </c>
      <c r="H760" s="1" t="str">
        <f t="shared" si="46"/>
        <v/>
      </c>
      <c r="I760" s="1" t="str">
        <f>IF($L760="","",INDEX(Ref_AccountRules,$L760,3))</f>
        <v/>
      </c>
      <c r="J760" s="1" t="str">
        <f>IF($L760="","",INDEX(Ref_AccountRules,$L760,4))</f>
        <v/>
      </c>
      <c r="K760" s="1" t="str">
        <f>IF($L760="","",INDEX(Ref_AccountRules,$L760,5))</f>
        <v/>
      </c>
      <c r="L760" s="1" t="str">
        <f t="shared" si="47"/>
        <v/>
      </c>
    </row>
    <row r="761" spans="2:12" x14ac:dyDescent="0.35">
      <c r="B761" s="12"/>
      <c r="C761" s="11"/>
      <c r="D761" s="11"/>
      <c r="E761" s="11"/>
      <c r="F761" s="1" t="str">
        <f t="shared" si="44"/>
        <v/>
      </c>
      <c r="G761" s="1" t="str">
        <f t="shared" si="45"/>
        <v/>
      </c>
      <c r="H761" s="1" t="str">
        <f t="shared" si="46"/>
        <v/>
      </c>
      <c r="I761" s="1" t="str">
        <f>IF($L761="","",INDEX(Ref_AccountRules,$L761,3))</f>
        <v/>
      </c>
      <c r="J761" s="1" t="str">
        <f>IF($L761="","",INDEX(Ref_AccountRules,$L761,4))</f>
        <v/>
      </c>
      <c r="K761" s="1" t="str">
        <f>IF($L761="","",INDEX(Ref_AccountRules,$L761,5))</f>
        <v/>
      </c>
      <c r="L761" s="1" t="str">
        <f t="shared" si="47"/>
        <v/>
      </c>
    </row>
    <row r="762" spans="2:12" x14ac:dyDescent="0.35">
      <c r="B762" s="12"/>
      <c r="C762" s="11"/>
      <c r="D762" s="11"/>
      <c r="E762" s="11"/>
      <c r="F762" s="1" t="str">
        <f t="shared" si="44"/>
        <v/>
      </c>
      <c r="G762" s="1" t="str">
        <f t="shared" si="45"/>
        <v/>
      </c>
      <c r="H762" s="1" t="str">
        <f t="shared" si="46"/>
        <v/>
      </c>
      <c r="I762" s="1" t="str">
        <f>IF($L762="","",INDEX(Ref_AccountRules,$L762,3))</f>
        <v/>
      </c>
      <c r="J762" s="1" t="str">
        <f>IF($L762="","",INDEX(Ref_AccountRules,$L762,4))</f>
        <v/>
      </c>
      <c r="K762" s="1" t="str">
        <f>IF($L762="","",INDEX(Ref_AccountRules,$L762,5))</f>
        <v/>
      </c>
      <c r="L762" s="1" t="str">
        <f t="shared" si="47"/>
        <v/>
      </c>
    </row>
    <row r="763" spans="2:12" x14ac:dyDescent="0.35">
      <c r="B763" s="12"/>
      <c r="C763" s="11"/>
      <c r="D763" s="11"/>
      <c r="E763" s="11"/>
      <c r="F763" s="1" t="str">
        <f t="shared" si="44"/>
        <v/>
      </c>
      <c r="G763" s="1" t="str">
        <f t="shared" si="45"/>
        <v/>
      </c>
      <c r="H763" s="1" t="str">
        <f t="shared" si="46"/>
        <v/>
      </c>
      <c r="I763" s="1" t="str">
        <f>IF($L763="","",INDEX(Ref_AccountRules,$L763,3))</f>
        <v/>
      </c>
      <c r="J763" s="1" t="str">
        <f>IF($L763="","",INDEX(Ref_AccountRules,$L763,4))</f>
        <v/>
      </c>
      <c r="K763" s="1" t="str">
        <f>IF($L763="","",INDEX(Ref_AccountRules,$L763,5))</f>
        <v/>
      </c>
      <c r="L763" s="1" t="str">
        <f t="shared" si="47"/>
        <v/>
      </c>
    </row>
    <row r="764" spans="2:12" x14ac:dyDescent="0.35">
      <c r="B764" s="12"/>
      <c r="C764" s="11"/>
      <c r="D764" s="11"/>
      <c r="E764" s="11"/>
      <c r="F764" s="1" t="str">
        <f t="shared" si="44"/>
        <v/>
      </c>
      <c r="G764" s="1" t="str">
        <f t="shared" si="45"/>
        <v/>
      </c>
      <c r="H764" s="1" t="str">
        <f t="shared" si="46"/>
        <v/>
      </c>
      <c r="I764" s="1" t="str">
        <f>IF($L764="","",INDEX(Ref_AccountRules,$L764,3))</f>
        <v/>
      </c>
      <c r="J764" s="1" t="str">
        <f>IF($L764="","",INDEX(Ref_AccountRules,$L764,4))</f>
        <v/>
      </c>
      <c r="K764" s="1" t="str">
        <f>IF($L764="","",INDEX(Ref_AccountRules,$L764,5))</f>
        <v/>
      </c>
      <c r="L764" s="1" t="str">
        <f t="shared" si="47"/>
        <v/>
      </c>
    </row>
    <row r="765" spans="2:12" x14ac:dyDescent="0.35">
      <c r="B765" s="12"/>
      <c r="C765" s="11"/>
      <c r="D765" s="11"/>
      <c r="E765" s="11"/>
      <c r="F765" s="1" t="str">
        <f t="shared" si="44"/>
        <v/>
      </c>
      <c r="G765" s="1" t="str">
        <f t="shared" si="45"/>
        <v/>
      </c>
      <c r="H765" s="1" t="str">
        <f t="shared" si="46"/>
        <v/>
      </c>
      <c r="I765" s="1" t="str">
        <f>IF($L765="","",INDEX(Ref_AccountRules,$L765,3))</f>
        <v/>
      </c>
      <c r="J765" s="1" t="str">
        <f>IF($L765="","",INDEX(Ref_AccountRules,$L765,4))</f>
        <v/>
      </c>
      <c r="K765" s="1" t="str">
        <f>IF($L765="","",INDEX(Ref_AccountRules,$L765,5))</f>
        <v/>
      </c>
      <c r="L765" s="1" t="str">
        <f t="shared" si="47"/>
        <v/>
      </c>
    </row>
    <row r="766" spans="2:12" x14ac:dyDescent="0.35">
      <c r="B766" s="12"/>
      <c r="C766" s="11"/>
      <c r="D766" s="11"/>
      <c r="E766" s="11"/>
      <c r="F766" s="1" t="str">
        <f t="shared" si="44"/>
        <v/>
      </c>
      <c r="G766" s="1" t="str">
        <f t="shared" si="45"/>
        <v/>
      </c>
      <c r="H766" s="1" t="str">
        <f t="shared" si="46"/>
        <v/>
      </c>
      <c r="I766" s="1" t="str">
        <f>IF($L766="","",INDEX(Ref_AccountRules,$L766,3))</f>
        <v/>
      </c>
      <c r="J766" s="1" t="str">
        <f>IF($L766="","",INDEX(Ref_AccountRules,$L766,4))</f>
        <v/>
      </c>
      <c r="K766" s="1" t="str">
        <f>IF($L766="","",INDEX(Ref_AccountRules,$L766,5))</f>
        <v/>
      </c>
      <c r="L766" s="1" t="str">
        <f t="shared" si="47"/>
        <v/>
      </c>
    </row>
    <row r="767" spans="2:12" x14ac:dyDescent="0.35">
      <c r="B767" s="12"/>
      <c r="C767" s="11"/>
      <c r="D767" s="11"/>
      <c r="E767" s="11"/>
      <c r="F767" s="1" t="str">
        <f t="shared" si="44"/>
        <v/>
      </c>
      <c r="G767" s="1" t="str">
        <f t="shared" si="45"/>
        <v/>
      </c>
      <c r="H767" s="1" t="str">
        <f t="shared" si="46"/>
        <v/>
      </c>
      <c r="I767" s="1" t="str">
        <f>IF($L767="","",INDEX(Ref_AccountRules,$L767,3))</f>
        <v/>
      </c>
      <c r="J767" s="1" t="str">
        <f>IF($L767="","",INDEX(Ref_AccountRules,$L767,4))</f>
        <v/>
      </c>
      <c r="K767" s="1" t="str">
        <f>IF($L767="","",INDEX(Ref_AccountRules,$L767,5))</f>
        <v/>
      </c>
      <c r="L767" s="1" t="str">
        <f t="shared" si="47"/>
        <v/>
      </c>
    </row>
    <row r="768" spans="2:12" x14ac:dyDescent="0.35">
      <c r="B768" s="12"/>
      <c r="C768" s="11"/>
      <c r="D768" s="11"/>
      <c r="E768" s="11"/>
      <c r="F768" s="1" t="str">
        <f t="shared" si="44"/>
        <v/>
      </c>
      <c r="G768" s="1" t="str">
        <f t="shared" si="45"/>
        <v/>
      </c>
      <c r="H768" s="1" t="str">
        <f t="shared" si="46"/>
        <v/>
      </c>
      <c r="I768" s="1" t="str">
        <f>IF($L768="","",INDEX(Ref_AccountRules,$L768,3))</f>
        <v/>
      </c>
      <c r="J768" s="1" t="str">
        <f>IF($L768="","",INDEX(Ref_AccountRules,$L768,4))</f>
        <v/>
      </c>
      <c r="K768" s="1" t="str">
        <f>IF($L768="","",INDEX(Ref_AccountRules,$L768,5))</f>
        <v/>
      </c>
      <c r="L768" s="1" t="str">
        <f t="shared" si="47"/>
        <v/>
      </c>
    </row>
    <row r="769" spans="2:12" x14ac:dyDescent="0.35">
      <c r="B769" s="12"/>
      <c r="C769" s="11"/>
      <c r="D769" s="11"/>
      <c r="E769" s="11"/>
      <c r="F769" s="1" t="str">
        <f t="shared" si="44"/>
        <v/>
      </c>
      <c r="G769" s="1" t="str">
        <f t="shared" si="45"/>
        <v/>
      </c>
      <c r="H769" s="1" t="str">
        <f t="shared" si="46"/>
        <v/>
      </c>
      <c r="I769" s="1" t="str">
        <f>IF($L769="","",INDEX(Ref_AccountRules,$L769,3))</f>
        <v/>
      </c>
      <c r="J769" s="1" t="str">
        <f>IF($L769="","",INDEX(Ref_AccountRules,$L769,4))</f>
        <v/>
      </c>
      <c r="K769" s="1" t="str">
        <f>IF($L769="","",INDEX(Ref_AccountRules,$L769,5))</f>
        <v/>
      </c>
      <c r="L769" s="1" t="str">
        <f t="shared" si="47"/>
        <v/>
      </c>
    </row>
    <row r="770" spans="2:12" x14ac:dyDescent="0.35">
      <c r="B770" s="12"/>
      <c r="C770" s="11"/>
      <c r="D770" s="11"/>
      <c r="E770" s="11"/>
      <c r="F770" s="1" t="str">
        <f t="shared" si="44"/>
        <v/>
      </c>
      <c r="G770" s="1" t="str">
        <f t="shared" si="45"/>
        <v/>
      </c>
      <c r="H770" s="1" t="str">
        <f t="shared" si="46"/>
        <v/>
      </c>
      <c r="I770" s="1" t="str">
        <f>IF($L770="","",INDEX(Ref_AccountRules,$L770,3))</f>
        <v/>
      </c>
      <c r="J770" s="1" t="str">
        <f>IF($L770="","",INDEX(Ref_AccountRules,$L770,4))</f>
        <v/>
      </c>
      <c r="K770" s="1" t="str">
        <f>IF($L770="","",INDEX(Ref_AccountRules,$L770,5))</f>
        <v/>
      </c>
      <c r="L770" s="1" t="str">
        <f t="shared" si="47"/>
        <v/>
      </c>
    </row>
    <row r="771" spans="2:12" x14ac:dyDescent="0.35">
      <c r="B771" s="12"/>
      <c r="C771" s="11"/>
      <c r="D771" s="11"/>
      <c r="E771" s="11"/>
      <c r="F771" s="1" t="str">
        <f t="shared" si="44"/>
        <v/>
      </c>
      <c r="G771" s="1" t="str">
        <f t="shared" si="45"/>
        <v/>
      </c>
      <c r="H771" s="1" t="str">
        <f t="shared" si="46"/>
        <v/>
      </c>
      <c r="I771" s="1" t="str">
        <f>IF($L771="","",INDEX(Ref_AccountRules,$L771,3))</f>
        <v/>
      </c>
      <c r="J771" s="1" t="str">
        <f>IF($L771="","",INDEX(Ref_AccountRules,$L771,4))</f>
        <v/>
      </c>
      <c r="K771" s="1" t="str">
        <f>IF($L771="","",INDEX(Ref_AccountRules,$L771,5))</f>
        <v/>
      </c>
      <c r="L771" s="1" t="str">
        <f t="shared" si="47"/>
        <v/>
      </c>
    </row>
    <row r="772" spans="2:12" x14ac:dyDescent="0.35">
      <c r="B772" s="12"/>
      <c r="C772" s="11"/>
      <c r="D772" s="11"/>
      <c r="E772" s="11"/>
      <c r="F772" s="1" t="str">
        <f t="shared" si="44"/>
        <v/>
      </c>
      <c r="G772" s="1" t="str">
        <f t="shared" si="45"/>
        <v/>
      </c>
      <c r="H772" s="1" t="str">
        <f t="shared" si="46"/>
        <v/>
      </c>
      <c r="I772" s="1" t="str">
        <f>IF($L772="","",INDEX(Ref_AccountRules,$L772,3))</f>
        <v/>
      </c>
      <c r="J772" s="1" t="str">
        <f>IF($L772="","",INDEX(Ref_AccountRules,$L772,4))</f>
        <v/>
      </c>
      <c r="K772" s="1" t="str">
        <f>IF($L772="","",INDEX(Ref_AccountRules,$L772,5))</f>
        <v/>
      </c>
      <c r="L772" s="1" t="str">
        <f t="shared" si="47"/>
        <v/>
      </c>
    </row>
    <row r="773" spans="2:12" x14ac:dyDescent="0.35">
      <c r="B773" s="12"/>
      <c r="C773" s="11"/>
      <c r="D773" s="11"/>
      <c r="E773" s="11"/>
      <c r="F773" s="1" t="str">
        <f t="shared" si="44"/>
        <v/>
      </c>
      <c r="G773" s="1" t="str">
        <f t="shared" si="45"/>
        <v/>
      </c>
      <c r="H773" s="1" t="str">
        <f t="shared" si="46"/>
        <v/>
      </c>
      <c r="I773" s="1" t="str">
        <f>IF($L773="","",INDEX(Ref_AccountRules,$L773,3))</f>
        <v/>
      </c>
      <c r="J773" s="1" t="str">
        <f>IF($L773="","",INDEX(Ref_AccountRules,$L773,4))</f>
        <v/>
      </c>
      <c r="K773" s="1" t="str">
        <f>IF($L773="","",INDEX(Ref_AccountRules,$L773,5))</f>
        <v/>
      </c>
      <c r="L773" s="1" t="str">
        <f t="shared" si="47"/>
        <v/>
      </c>
    </row>
    <row r="774" spans="2:12" x14ac:dyDescent="0.35">
      <c r="B774" s="12"/>
      <c r="C774" s="11"/>
      <c r="D774" s="11"/>
      <c r="E774" s="11"/>
      <c r="F774" s="1" t="str">
        <f t="shared" si="44"/>
        <v/>
      </c>
      <c r="G774" s="1" t="str">
        <f t="shared" si="45"/>
        <v/>
      </c>
      <c r="H774" s="1" t="str">
        <f t="shared" si="46"/>
        <v/>
      </c>
      <c r="I774" s="1" t="str">
        <f>IF($L774="","",INDEX(Ref_AccountRules,$L774,3))</f>
        <v/>
      </c>
      <c r="J774" s="1" t="str">
        <f>IF($L774="","",INDEX(Ref_AccountRules,$L774,4))</f>
        <v/>
      </c>
      <c r="K774" s="1" t="str">
        <f>IF($L774="","",INDEX(Ref_AccountRules,$L774,5))</f>
        <v/>
      </c>
      <c r="L774" s="1" t="str">
        <f t="shared" si="47"/>
        <v/>
      </c>
    </row>
    <row r="775" spans="2:12" x14ac:dyDescent="0.35">
      <c r="B775" s="12"/>
      <c r="C775" s="11"/>
      <c r="D775" s="11"/>
      <c r="E775" s="11"/>
      <c r="F775" s="1" t="str">
        <f t="shared" si="44"/>
        <v/>
      </c>
      <c r="G775" s="1" t="str">
        <f t="shared" si="45"/>
        <v/>
      </c>
      <c r="H775" s="1" t="str">
        <f t="shared" si="46"/>
        <v/>
      </c>
      <c r="I775" s="1" t="str">
        <f>IF($L775="","",INDEX(Ref_AccountRules,$L775,3))</f>
        <v/>
      </c>
      <c r="J775" s="1" t="str">
        <f>IF($L775="","",INDEX(Ref_AccountRules,$L775,4))</f>
        <v/>
      </c>
      <c r="K775" s="1" t="str">
        <f>IF($L775="","",INDEX(Ref_AccountRules,$L775,5))</f>
        <v/>
      </c>
      <c r="L775" s="1" t="str">
        <f t="shared" si="47"/>
        <v/>
      </c>
    </row>
    <row r="776" spans="2:12" x14ac:dyDescent="0.35">
      <c r="B776" s="12"/>
      <c r="C776" s="11"/>
      <c r="D776" s="11"/>
      <c r="E776" s="11"/>
      <c r="F776" s="1" t="str">
        <f t="shared" si="44"/>
        <v/>
      </c>
      <c r="G776" s="1" t="str">
        <f t="shared" si="45"/>
        <v/>
      </c>
      <c r="H776" s="1" t="str">
        <f t="shared" si="46"/>
        <v/>
      </c>
      <c r="I776" s="1" t="str">
        <f>IF($L776="","",INDEX(Ref_AccountRules,$L776,3))</f>
        <v/>
      </c>
      <c r="J776" s="1" t="str">
        <f>IF($L776="","",INDEX(Ref_AccountRules,$L776,4))</f>
        <v/>
      </c>
      <c r="K776" s="1" t="str">
        <f>IF($L776="","",INDEX(Ref_AccountRules,$L776,5))</f>
        <v/>
      </c>
      <c r="L776" s="1" t="str">
        <f t="shared" si="47"/>
        <v/>
      </c>
    </row>
    <row r="777" spans="2:12" x14ac:dyDescent="0.35">
      <c r="B777" s="12"/>
      <c r="C777" s="11"/>
      <c r="D777" s="11"/>
      <c r="E777" s="11"/>
      <c r="F777" s="1" t="str">
        <f t="shared" si="44"/>
        <v/>
      </c>
      <c r="G777" s="1" t="str">
        <f t="shared" si="45"/>
        <v/>
      </c>
      <c r="H777" s="1" t="str">
        <f t="shared" si="46"/>
        <v/>
      </c>
      <c r="I777" s="1" t="str">
        <f>IF($L777="","",INDEX(Ref_AccountRules,$L777,3))</f>
        <v/>
      </c>
      <c r="J777" s="1" t="str">
        <f>IF($L777="","",INDEX(Ref_AccountRules,$L777,4))</f>
        <v/>
      </c>
      <c r="K777" s="1" t="str">
        <f>IF($L777="","",INDEX(Ref_AccountRules,$L777,5))</f>
        <v/>
      </c>
      <c r="L777" s="1" t="str">
        <f t="shared" si="47"/>
        <v/>
      </c>
    </row>
    <row r="778" spans="2:12" x14ac:dyDescent="0.35">
      <c r="B778" s="12"/>
      <c r="C778" s="11"/>
      <c r="D778" s="11"/>
      <c r="E778" s="11"/>
      <c r="F778" s="1" t="str">
        <f t="shared" si="44"/>
        <v/>
      </c>
      <c r="G778" s="1" t="str">
        <f t="shared" si="45"/>
        <v/>
      </c>
      <c r="H778" s="1" t="str">
        <f t="shared" si="46"/>
        <v/>
      </c>
      <c r="I778" s="1" t="str">
        <f>IF($L778="","",INDEX(Ref_AccountRules,$L778,3))</f>
        <v/>
      </c>
      <c r="J778" s="1" t="str">
        <f>IF($L778="","",INDEX(Ref_AccountRules,$L778,4))</f>
        <v/>
      </c>
      <c r="K778" s="1" t="str">
        <f>IF($L778="","",INDEX(Ref_AccountRules,$L778,5))</f>
        <v/>
      </c>
      <c r="L778" s="1" t="str">
        <f t="shared" si="47"/>
        <v/>
      </c>
    </row>
    <row r="779" spans="2:12" x14ac:dyDescent="0.35">
      <c r="B779" s="12"/>
      <c r="C779" s="11"/>
      <c r="D779" s="11"/>
      <c r="E779" s="11"/>
      <c r="F779" s="1" t="str">
        <f t="shared" ref="F779:F842" si="48">IF($B779="","",E779-D779)</f>
        <v/>
      </c>
      <c r="G779" s="1" t="str">
        <f t="shared" ref="G779:G842" si="49">IF($B779="","",IF(D779=0,0,(E779-D779)/ABS(D779)*100))</f>
        <v/>
      </c>
      <c r="H779" s="1" t="str">
        <f t="shared" ref="H779:H842" si="50">IF($B779="","",IF(LEFT($B779,6)="606880","emballages",IF(LEFT($B779,4)="6068","emballages",IF(LEFT($B779,3)="606","energie_dechets",IF(LEFT($B779,3)="164","tresorerie_financement",IF(LEFT($B779,2)="20","immobilisations",IF(LEFT($B779,2)="21","immobilisations",IF(LEFT($B779,2)="22","immobilisations",IF(LEFT($B779,2)="23","immobilisations",IF(LEFT($B779,2)="28","immobilisations",IF(LEFT($B779,2)="40","fournisseurs",IF(LEFT($B779,2)="41","clients",IF(LEFT($B779,2)="32","stocks",IF(LEFT($B779,2)="60","charges",IF(LEFT($B779,2)="61","services",IF(LEFT($B779,2)="62","personnel",IF(LEFT($B779,2)="63","fiscal",IF(LEFT($B779,2)="64","financier","autres"))))))))))))))))))</f>
        <v/>
      </c>
      <c r="I779" s="1" t="str">
        <f>IF($L779="","",INDEX(Ref_AccountRules,$L779,3))</f>
        <v/>
      </c>
      <c r="J779" s="1" t="str">
        <f>IF($L779="","",INDEX(Ref_AccountRules,$L779,4))</f>
        <v/>
      </c>
      <c r="K779" s="1" t="str">
        <f>IF($L779="","",INDEX(Ref_AccountRules,$L779,5))</f>
        <v/>
      </c>
      <c r="L779" s="1" t="str">
        <f t="shared" ref="L779:L842" si="51">IF($B779="","",IF(LEFT($B779,3)="215",1,IF(LEFT($B779,4)="2183",2,IF(LEFT($B779,3)="401",3,IF(LEFT($B779,3)="411",4,IF(LEFT($B779,3)="322",5,IF(LEFT($B779,4)="3220",6,IF(LEFT($B779,5)="32200",7,IF(LEFT($B779,3)="625",8,IF(LEFT($B779,3)="606",9,IF(LEFT($B779,3)="164",10,IF(LEFT($B779,6)="606880",11,""))))))))))))</f>
        <v/>
      </c>
    </row>
    <row r="780" spans="2:12" x14ac:dyDescent="0.35">
      <c r="B780" s="12"/>
      <c r="C780" s="11"/>
      <c r="D780" s="11"/>
      <c r="E780" s="11"/>
      <c r="F780" s="1" t="str">
        <f t="shared" si="48"/>
        <v/>
      </c>
      <c r="G780" s="1" t="str">
        <f t="shared" si="49"/>
        <v/>
      </c>
      <c r="H780" s="1" t="str">
        <f t="shared" si="50"/>
        <v/>
      </c>
      <c r="I780" s="1" t="str">
        <f>IF($L780="","",INDEX(Ref_AccountRules,$L780,3))</f>
        <v/>
      </c>
      <c r="J780" s="1" t="str">
        <f>IF($L780="","",INDEX(Ref_AccountRules,$L780,4))</f>
        <v/>
      </c>
      <c r="K780" s="1" t="str">
        <f>IF($L780="","",INDEX(Ref_AccountRules,$L780,5))</f>
        <v/>
      </c>
      <c r="L780" s="1" t="str">
        <f t="shared" si="51"/>
        <v/>
      </c>
    </row>
    <row r="781" spans="2:12" x14ac:dyDescent="0.35">
      <c r="B781" s="12"/>
      <c r="C781" s="11"/>
      <c r="D781" s="11"/>
      <c r="E781" s="11"/>
      <c r="F781" s="1" t="str">
        <f t="shared" si="48"/>
        <v/>
      </c>
      <c r="G781" s="1" t="str">
        <f t="shared" si="49"/>
        <v/>
      </c>
      <c r="H781" s="1" t="str">
        <f t="shared" si="50"/>
        <v/>
      </c>
      <c r="I781" s="1" t="str">
        <f>IF($L781="","",INDEX(Ref_AccountRules,$L781,3))</f>
        <v/>
      </c>
      <c r="J781" s="1" t="str">
        <f>IF($L781="","",INDEX(Ref_AccountRules,$L781,4))</f>
        <v/>
      </c>
      <c r="K781" s="1" t="str">
        <f>IF($L781="","",INDEX(Ref_AccountRules,$L781,5))</f>
        <v/>
      </c>
      <c r="L781" s="1" t="str">
        <f t="shared" si="51"/>
        <v/>
      </c>
    </row>
    <row r="782" spans="2:12" x14ac:dyDescent="0.35">
      <c r="B782" s="12"/>
      <c r="C782" s="11"/>
      <c r="D782" s="11"/>
      <c r="E782" s="11"/>
      <c r="F782" s="1" t="str">
        <f t="shared" si="48"/>
        <v/>
      </c>
      <c r="G782" s="1" t="str">
        <f t="shared" si="49"/>
        <v/>
      </c>
      <c r="H782" s="1" t="str">
        <f t="shared" si="50"/>
        <v/>
      </c>
      <c r="I782" s="1" t="str">
        <f>IF($L782="","",INDEX(Ref_AccountRules,$L782,3))</f>
        <v/>
      </c>
      <c r="J782" s="1" t="str">
        <f>IF($L782="","",INDEX(Ref_AccountRules,$L782,4))</f>
        <v/>
      </c>
      <c r="K782" s="1" t="str">
        <f>IF($L782="","",INDEX(Ref_AccountRules,$L782,5))</f>
        <v/>
      </c>
      <c r="L782" s="1" t="str">
        <f t="shared" si="51"/>
        <v/>
      </c>
    </row>
    <row r="783" spans="2:12" x14ac:dyDescent="0.35">
      <c r="B783" s="12"/>
      <c r="C783" s="11"/>
      <c r="D783" s="11"/>
      <c r="E783" s="11"/>
      <c r="F783" s="1" t="str">
        <f t="shared" si="48"/>
        <v/>
      </c>
      <c r="G783" s="1" t="str">
        <f t="shared" si="49"/>
        <v/>
      </c>
      <c r="H783" s="1" t="str">
        <f t="shared" si="50"/>
        <v/>
      </c>
      <c r="I783" s="1" t="str">
        <f>IF($L783="","",INDEX(Ref_AccountRules,$L783,3))</f>
        <v/>
      </c>
      <c r="J783" s="1" t="str">
        <f>IF($L783="","",INDEX(Ref_AccountRules,$L783,4))</f>
        <v/>
      </c>
      <c r="K783" s="1" t="str">
        <f>IF($L783="","",INDEX(Ref_AccountRules,$L783,5))</f>
        <v/>
      </c>
      <c r="L783" s="1" t="str">
        <f t="shared" si="51"/>
        <v/>
      </c>
    </row>
    <row r="784" spans="2:12" x14ac:dyDescent="0.35">
      <c r="B784" s="12"/>
      <c r="C784" s="11"/>
      <c r="D784" s="11"/>
      <c r="E784" s="11"/>
      <c r="F784" s="1" t="str">
        <f t="shared" si="48"/>
        <v/>
      </c>
      <c r="G784" s="1" t="str">
        <f t="shared" si="49"/>
        <v/>
      </c>
      <c r="H784" s="1" t="str">
        <f t="shared" si="50"/>
        <v/>
      </c>
      <c r="I784" s="1" t="str">
        <f>IF($L784="","",INDEX(Ref_AccountRules,$L784,3))</f>
        <v/>
      </c>
      <c r="J784" s="1" t="str">
        <f>IF($L784="","",INDEX(Ref_AccountRules,$L784,4))</f>
        <v/>
      </c>
      <c r="K784" s="1" t="str">
        <f>IF($L784="","",INDEX(Ref_AccountRules,$L784,5))</f>
        <v/>
      </c>
      <c r="L784" s="1" t="str">
        <f t="shared" si="51"/>
        <v/>
      </c>
    </row>
    <row r="785" spans="2:12" x14ac:dyDescent="0.35">
      <c r="B785" s="12"/>
      <c r="C785" s="11"/>
      <c r="D785" s="11"/>
      <c r="E785" s="11"/>
      <c r="F785" s="1" t="str">
        <f t="shared" si="48"/>
        <v/>
      </c>
      <c r="G785" s="1" t="str">
        <f t="shared" si="49"/>
        <v/>
      </c>
      <c r="H785" s="1" t="str">
        <f t="shared" si="50"/>
        <v/>
      </c>
      <c r="I785" s="1" t="str">
        <f>IF($L785="","",INDEX(Ref_AccountRules,$L785,3))</f>
        <v/>
      </c>
      <c r="J785" s="1" t="str">
        <f>IF($L785="","",INDEX(Ref_AccountRules,$L785,4))</f>
        <v/>
      </c>
      <c r="K785" s="1" t="str">
        <f>IF($L785="","",INDEX(Ref_AccountRules,$L785,5))</f>
        <v/>
      </c>
      <c r="L785" s="1" t="str">
        <f t="shared" si="51"/>
        <v/>
      </c>
    </row>
    <row r="786" spans="2:12" x14ac:dyDescent="0.35">
      <c r="B786" s="12"/>
      <c r="C786" s="11"/>
      <c r="D786" s="11"/>
      <c r="E786" s="11"/>
      <c r="F786" s="1" t="str">
        <f t="shared" si="48"/>
        <v/>
      </c>
      <c r="G786" s="1" t="str">
        <f t="shared" si="49"/>
        <v/>
      </c>
      <c r="H786" s="1" t="str">
        <f t="shared" si="50"/>
        <v/>
      </c>
      <c r="I786" s="1" t="str">
        <f>IF($L786="","",INDEX(Ref_AccountRules,$L786,3))</f>
        <v/>
      </c>
      <c r="J786" s="1" t="str">
        <f>IF($L786="","",INDEX(Ref_AccountRules,$L786,4))</f>
        <v/>
      </c>
      <c r="K786" s="1" t="str">
        <f>IF($L786="","",INDEX(Ref_AccountRules,$L786,5))</f>
        <v/>
      </c>
      <c r="L786" s="1" t="str">
        <f t="shared" si="51"/>
        <v/>
      </c>
    </row>
    <row r="787" spans="2:12" x14ac:dyDescent="0.35">
      <c r="B787" s="12"/>
      <c r="C787" s="11"/>
      <c r="D787" s="11"/>
      <c r="E787" s="11"/>
      <c r="F787" s="1" t="str">
        <f t="shared" si="48"/>
        <v/>
      </c>
      <c r="G787" s="1" t="str">
        <f t="shared" si="49"/>
        <v/>
      </c>
      <c r="H787" s="1" t="str">
        <f t="shared" si="50"/>
        <v/>
      </c>
      <c r="I787" s="1" t="str">
        <f>IF($L787="","",INDEX(Ref_AccountRules,$L787,3))</f>
        <v/>
      </c>
      <c r="J787" s="1" t="str">
        <f>IF($L787="","",INDEX(Ref_AccountRules,$L787,4))</f>
        <v/>
      </c>
      <c r="K787" s="1" t="str">
        <f>IF($L787="","",INDEX(Ref_AccountRules,$L787,5))</f>
        <v/>
      </c>
      <c r="L787" s="1" t="str">
        <f t="shared" si="51"/>
        <v/>
      </c>
    </row>
    <row r="788" spans="2:12" x14ac:dyDescent="0.35">
      <c r="B788" s="12"/>
      <c r="C788" s="11"/>
      <c r="D788" s="11"/>
      <c r="E788" s="11"/>
      <c r="F788" s="1" t="str">
        <f t="shared" si="48"/>
        <v/>
      </c>
      <c r="G788" s="1" t="str">
        <f t="shared" si="49"/>
        <v/>
      </c>
      <c r="H788" s="1" t="str">
        <f t="shared" si="50"/>
        <v/>
      </c>
      <c r="I788" s="1" t="str">
        <f>IF($L788="","",INDEX(Ref_AccountRules,$L788,3))</f>
        <v/>
      </c>
      <c r="J788" s="1" t="str">
        <f>IF($L788="","",INDEX(Ref_AccountRules,$L788,4))</f>
        <v/>
      </c>
      <c r="K788" s="1" t="str">
        <f>IF($L788="","",INDEX(Ref_AccountRules,$L788,5))</f>
        <v/>
      </c>
      <c r="L788" s="1" t="str">
        <f t="shared" si="51"/>
        <v/>
      </c>
    </row>
    <row r="789" spans="2:12" x14ac:dyDescent="0.35">
      <c r="B789" s="12"/>
      <c r="C789" s="11"/>
      <c r="D789" s="11"/>
      <c r="E789" s="11"/>
      <c r="F789" s="1" t="str">
        <f t="shared" si="48"/>
        <v/>
      </c>
      <c r="G789" s="1" t="str">
        <f t="shared" si="49"/>
        <v/>
      </c>
      <c r="H789" s="1" t="str">
        <f t="shared" si="50"/>
        <v/>
      </c>
      <c r="I789" s="1" t="str">
        <f>IF($L789="","",INDEX(Ref_AccountRules,$L789,3))</f>
        <v/>
      </c>
      <c r="J789" s="1" t="str">
        <f>IF($L789="","",INDEX(Ref_AccountRules,$L789,4))</f>
        <v/>
      </c>
      <c r="K789" s="1" t="str">
        <f>IF($L789="","",INDEX(Ref_AccountRules,$L789,5))</f>
        <v/>
      </c>
      <c r="L789" s="1" t="str">
        <f t="shared" si="51"/>
        <v/>
      </c>
    </row>
    <row r="790" spans="2:12" x14ac:dyDescent="0.35">
      <c r="B790" s="12"/>
      <c r="C790" s="11"/>
      <c r="D790" s="11"/>
      <c r="E790" s="11"/>
      <c r="F790" s="1" t="str">
        <f t="shared" si="48"/>
        <v/>
      </c>
      <c r="G790" s="1" t="str">
        <f t="shared" si="49"/>
        <v/>
      </c>
      <c r="H790" s="1" t="str">
        <f t="shared" si="50"/>
        <v/>
      </c>
      <c r="I790" s="1" t="str">
        <f>IF($L790="","",INDEX(Ref_AccountRules,$L790,3))</f>
        <v/>
      </c>
      <c r="J790" s="1" t="str">
        <f>IF($L790="","",INDEX(Ref_AccountRules,$L790,4))</f>
        <v/>
      </c>
      <c r="K790" s="1" t="str">
        <f>IF($L790="","",INDEX(Ref_AccountRules,$L790,5))</f>
        <v/>
      </c>
      <c r="L790" s="1" t="str">
        <f t="shared" si="51"/>
        <v/>
      </c>
    </row>
    <row r="791" spans="2:12" x14ac:dyDescent="0.35">
      <c r="B791" s="12"/>
      <c r="C791" s="11"/>
      <c r="D791" s="11"/>
      <c r="E791" s="11"/>
      <c r="F791" s="1" t="str">
        <f t="shared" si="48"/>
        <v/>
      </c>
      <c r="G791" s="1" t="str">
        <f t="shared" si="49"/>
        <v/>
      </c>
      <c r="H791" s="1" t="str">
        <f t="shared" si="50"/>
        <v/>
      </c>
      <c r="I791" s="1" t="str">
        <f>IF($L791="","",INDEX(Ref_AccountRules,$L791,3))</f>
        <v/>
      </c>
      <c r="J791" s="1" t="str">
        <f>IF($L791="","",INDEX(Ref_AccountRules,$L791,4))</f>
        <v/>
      </c>
      <c r="K791" s="1" t="str">
        <f>IF($L791="","",INDEX(Ref_AccountRules,$L791,5))</f>
        <v/>
      </c>
      <c r="L791" s="1" t="str">
        <f t="shared" si="51"/>
        <v/>
      </c>
    </row>
    <row r="792" spans="2:12" x14ac:dyDescent="0.35">
      <c r="B792" s="12"/>
      <c r="C792" s="11"/>
      <c r="D792" s="11"/>
      <c r="E792" s="11"/>
      <c r="F792" s="1" t="str">
        <f t="shared" si="48"/>
        <v/>
      </c>
      <c r="G792" s="1" t="str">
        <f t="shared" si="49"/>
        <v/>
      </c>
      <c r="H792" s="1" t="str">
        <f t="shared" si="50"/>
        <v/>
      </c>
      <c r="I792" s="1" t="str">
        <f>IF($L792="","",INDEX(Ref_AccountRules,$L792,3))</f>
        <v/>
      </c>
      <c r="J792" s="1" t="str">
        <f>IF($L792="","",INDEX(Ref_AccountRules,$L792,4))</f>
        <v/>
      </c>
      <c r="K792" s="1" t="str">
        <f>IF($L792="","",INDEX(Ref_AccountRules,$L792,5))</f>
        <v/>
      </c>
      <c r="L792" s="1" t="str">
        <f t="shared" si="51"/>
        <v/>
      </c>
    </row>
    <row r="793" spans="2:12" x14ac:dyDescent="0.35">
      <c r="B793" s="12"/>
      <c r="C793" s="11"/>
      <c r="D793" s="11"/>
      <c r="E793" s="11"/>
      <c r="F793" s="1" t="str">
        <f t="shared" si="48"/>
        <v/>
      </c>
      <c r="G793" s="1" t="str">
        <f t="shared" si="49"/>
        <v/>
      </c>
      <c r="H793" s="1" t="str">
        <f t="shared" si="50"/>
        <v/>
      </c>
      <c r="I793" s="1" t="str">
        <f>IF($L793="","",INDEX(Ref_AccountRules,$L793,3))</f>
        <v/>
      </c>
      <c r="J793" s="1" t="str">
        <f>IF($L793="","",INDEX(Ref_AccountRules,$L793,4))</f>
        <v/>
      </c>
      <c r="K793" s="1" t="str">
        <f>IF($L793="","",INDEX(Ref_AccountRules,$L793,5))</f>
        <v/>
      </c>
      <c r="L793" s="1" t="str">
        <f t="shared" si="51"/>
        <v/>
      </c>
    </row>
    <row r="794" spans="2:12" x14ac:dyDescent="0.35">
      <c r="B794" s="12"/>
      <c r="C794" s="11"/>
      <c r="D794" s="11"/>
      <c r="E794" s="11"/>
      <c r="F794" s="1" t="str">
        <f t="shared" si="48"/>
        <v/>
      </c>
      <c r="G794" s="1" t="str">
        <f t="shared" si="49"/>
        <v/>
      </c>
      <c r="H794" s="1" t="str">
        <f t="shared" si="50"/>
        <v/>
      </c>
      <c r="I794" s="1" t="str">
        <f>IF($L794="","",INDEX(Ref_AccountRules,$L794,3))</f>
        <v/>
      </c>
      <c r="J794" s="1" t="str">
        <f>IF($L794="","",INDEX(Ref_AccountRules,$L794,4))</f>
        <v/>
      </c>
      <c r="K794" s="1" t="str">
        <f>IF($L794="","",INDEX(Ref_AccountRules,$L794,5))</f>
        <v/>
      </c>
      <c r="L794" s="1" t="str">
        <f t="shared" si="51"/>
        <v/>
      </c>
    </row>
    <row r="795" spans="2:12" x14ac:dyDescent="0.35">
      <c r="B795" s="12"/>
      <c r="C795" s="11"/>
      <c r="D795" s="11"/>
      <c r="E795" s="11"/>
      <c r="F795" s="1" t="str">
        <f t="shared" si="48"/>
        <v/>
      </c>
      <c r="G795" s="1" t="str">
        <f t="shared" si="49"/>
        <v/>
      </c>
      <c r="H795" s="1" t="str">
        <f t="shared" si="50"/>
        <v/>
      </c>
      <c r="I795" s="1" t="str">
        <f>IF($L795="","",INDEX(Ref_AccountRules,$L795,3))</f>
        <v/>
      </c>
      <c r="J795" s="1" t="str">
        <f>IF($L795="","",INDEX(Ref_AccountRules,$L795,4))</f>
        <v/>
      </c>
      <c r="K795" s="1" t="str">
        <f>IF($L795="","",INDEX(Ref_AccountRules,$L795,5))</f>
        <v/>
      </c>
      <c r="L795" s="1" t="str">
        <f t="shared" si="51"/>
        <v/>
      </c>
    </row>
    <row r="796" spans="2:12" x14ac:dyDescent="0.35">
      <c r="B796" s="12"/>
      <c r="C796" s="11"/>
      <c r="D796" s="11"/>
      <c r="E796" s="11"/>
      <c r="F796" s="1" t="str">
        <f t="shared" si="48"/>
        <v/>
      </c>
      <c r="G796" s="1" t="str">
        <f t="shared" si="49"/>
        <v/>
      </c>
      <c r="H796" s="1" t="str">
        <f t="shared" si="50"/>
        <v/>
      </c>
      <c r="I796" s="1" t="str">
        <f>IF($L796="","",INDEX(Ref_AccountRules,$L796,3))</f>
        <v/>
      </c>
      <c r="J796" s="1" t="str">
        <f>IF($L796="","",INDEX(Ref_AccountRules,$L796,4))</f>
        <v/>
      </c>
      <c r="K796" s="1" t="str">
        <f>IF($L796="","",INDEX(Ref_AccountRules,$L796,5))</f>
        <v/>
      </c>
      <c r="L796" s="1" t="str">
        <f t="shared" si="51"/>
        <v/>
      </c>
    </row>
    <row r="797" spans="2:12" x14ac:dyDescent="0.35">
      <c r="B797" s="12"/>
      <c r="C797" s="11"/>
      <c r="D797" s="11"/>
      <c r="E797" s="11"/>
      <c r="F797" s="1" t="str">
        <f t="shared" si="48"/>
        <v/>
      </c>
      <c r="G797" s="1" t="str">
        <f t="shared" si="49"/>
        <v/>
      </c>
      <c r="H797" s="1" t="str">
        <f t="shared" si="50"/>
        <v/>
      </c>
      <c r="I797" s="1" t="str">
        <f>IF($L797="","",INDEX(Ref_AccountRules,$L797,3))</f>
        <v/>
      </c>
      <c r="J797" s="1" t="str">
        <f>IF($L797="","",INDEX(Ref_AccountRules,$L797,4))</f>
        <v/>
      </c>
      <c r="K797" s="1" t="str">
        <f>IF($L797="","",INDEX(Ref_AccountRules,$L797,5))</f>
        <v/>
      </c>
      <c r="L797" s="1" t="str">
        <f t="shared" si="51"/>
        <v/>
      </c>
    </row>
    <row r="798" spans="2:12" x14ac:dyDescent="0.35">
      <c r="B798" s="12"/>
      <c r="C798" s="11"/>
      <c r="D798" s="11"/>
      <c r="E798" s="11"/>
      <c r="F798" s="1" t="str">
        <f t="shared" si="48"/>
        <v/>
      </c>
      <c r="G798" s="1" t="str">
        <f t="shared" si="49"/>
        <v/>
      </c>
      <c r="H798" s="1" t="str">
        <f t="shared" si="50"/>
        <v/>
      </c>
      <c r="I798" s="1" t="str">
        <f>IF($L798="","",INDEX(Ref_AccountRules,$L798,3))</f>
        <v/>
      </c>
      <c r="J798" s="1" t="str">
        <f>IF($L798="","",INDEX(Ref_AccountRules,$L798,4))</f>
        <v/>
      </c>
      <c r="K798" s="1" t="str">
        <f>IF($L798="","",INDEX(Ref_AccountRules,$L798,5))</f>
        <v/>
      </c>
      <c r="L798" s="1" t="str">
        <f t="shared" si="51"/>
        <v/>
      </c>
    </row>
    <row r="799" spans="2:12" x14ac:dyDescent="0.35">
      <c r="B799" s="12"/>
      <c r="C799" s="11"/>
      <c r="D799" s="11"/>
      <c r="E799" s="11"/>
      <c r="F799" s="1" t="str">
        <f t="shared" si="48"/>
        <v/>
      </c>
      <c r="G799" s="1" t="str">
        <f t="shared" si="49"/>
        <v/>
      </c>
      <c r="H799" s="1" t="str">
        <f t="shared" si="50"/>
        <v/>
      </c>
      <c r="I799" s="1" t="str">
        <f>IF($L799="","",INDEX(Ref_AccountRules,$L799,3))</f>
        <v/>
      </c>
      <c r="J799" s="1" t="str">
        <f>IF($L799="","",INDEX(Ref_AccountRules,$L799,4))</f>
        <v/>
      </c>
      <c r="K799" s="1" t="str">
        <f>IF($L799="","",INDEX(Ref_AccountRules,$L799,5))</f>
        <v/>
      </c>
      <c r="L799" s="1" t="str">
        <f t="shared" si="51"/>
        <v/>
      </c>
    </row>
    <row r="800" spans="2:12" x14ac:dyDescent="0.35">
      <c r="B800" s="12"/>
      <c r="C800" s="11"/>
      <c r="D800" s="11"/>
      <c r="E800" s="11"/>
      <c r="F800" s="1" t="str">
        <f t="shared" si="48"/>
        <v/>
      </c>
      <c r="G800" s="1" t="str">
        <f t="shared" si="49"/>
        <v/>
      </c>
      <c r="H800" s="1" t="str">
        <f t="shared" si="50"/>
        <v/>
      </c>
      <c r="I800" s="1" t="str">
        <f>IF($L800="","",INDEX(Ref_AccountRules,$L800,3))</f>
        <v/>
      </c>
      <c r="J800" s="1" t="str">
        <f>IF($L800="","",INDEX(Ref_AccountRules,$L800,4))</f>
        <v/>
      </c>
      <c r="K800" s="1" t="str">
        <f>IF($L800="","",INDEX(Ref_AccountRules,$L800,5))</f>
        <v/>
      </c>
      <c r="L800" s="1" t="str">
        <f t="shared" si="51"/>
        <v/>
      </c>
    </row>
    <row r="801" spans="2:12" x14ac:dyDescent="0.35">
      <c r="B801" s="12"/>
      <c r="C801" s="11"/>
      <c r="D801" s="11"/>
      <c r="E801" s="11"/>
      <c r="F801" s="1" t="str">
        <f t="shared" si="48"/>
        <v/>
      </c>
      <c r="G801" s="1" t="str">
        <f t="shared" si="49"/>
        <v/>
      </c>
      <c r="H801" s="1" t="str">
        <f t="shared" si="50"/>
        <v/>
      </c>
      <c r="I801" s="1" t="str">
        <f>IF($L801="","",INDEX(Ref_AccountRules,$L801,3))</f>
        <v/>
      </c>
      <c r="J801" s="1" t="str">
        <f>IF($L801="","",INDEX(Ref_AccountRules,$L801,4))</f>
        <v/>
      </c>
      <c r="K801" s="1" t="str">
        <f>IF($L801="","",INDEX(Ref_AccountRules,$L801,5))</f>
        <v/>
      </c>
      <c r="L801" s="1" t="str">
        <f t="shared" si="51"/>
        <v/>
      </c>
    </row>
    <row r="802" spans="2:12" x14ac:dyDescent="0.35">
      <c r="B802" s="12"/>
      <c r="C802" s="11"/>
      <c r="D802" s="11"/>
      <c r="E802" s="11"/>
      <c r="F802" s="1" t="str">
        <f t="shared" si="48"/>
        <v/>
      </c>
      <c r="G802" s="1" t="str">
        <f t="shared" si="49"/>
        <v/>
      </c>
      <c r="H802" s="1" t="str">
        <f t="shared" si="50"/>
        <v/>
      </c>
      <c r="I802" s="1" t="str">
        <f>IF($L802="","",INDEX(Ref_AccountRules,$L802,3))</f>
        <v/>
      </c>
      <c r="J802" s="1" t="str">
        <f>IF($L802="","",INDEX(Ref_AccountRules,$L802,4))</f>
        <v/>
      </c>
      <c r="K802" s="1" t="str">
        <f>IF($L802="","",INDEX(Ref_AccountRules,$L802,5))</f>
        <v/>
      </c>
      <c r="L802" s="1" t="str">
        <f t="shared" si="51"/>
        <v/>
      </c>
    </row>
    <row r="803" spans="2:12" x14ac:dyDescent="0.35">
      <c r="B803" s="12"/>
      <c r="C803" s="11"/>
      <c r="D803" s="11"/>
      <c r="E803" s="11"/>
      <c r="F803" s="1" t="str">
        <f t="shared" si="48"/>
        <v/>
      </c>
      <c r="G803" s="1" t="str">
        <f t="shared" si="49"/>
        <v/>
      </c>
      <c r="H803" s="1" t="str">
        <f t="shared" si="50"/>
        <v/>
      </c>
      <c r="I803" s="1" t="str">
        <f>IF($L803="","",INDEX(Ref_AccountRules,$L803,3))</f>
        <v/>
      </c>
      <c r="J803" s="1" t="str">
        <f>IF($L803="","",INDEX(Ref_AccountRules,$L803,4))</f>
        <v/>
      </c>
      <c r="K803" s="1" t="str">
        <f>IF($L803="","",INDEX(Ref_AccountRules,$L803,5))</f>
        <v/>
      </c>
      <c r="L803" s="1" t="str">
        <f t="shared" si="51"/>
        <v/>
      </c>
    </row>
    <row r="804" spans="2:12" x14ac:dyDescent="0.35">
      <c r="B804" s="12"/>
      <c r="C804" s="11"/>
      <c r="D804" s="11"/>
      <c r="E804" s="11"/>
      <c r="F804" s="1" t="str">
        <f t="shared" si="48"/>
        <v/>
      </c>
      <c r="G804" s="1" t="str">
        <f t="shared" si="49"/>
        <v/>
      </c>
      <c r="H804" s="1" t="str">
        <f t="shared" si="50"/>
        <v/>
      </c>
      <c r="I804" s="1" t="str">
        <f>IF($L804="","",INDEX(Ref_AccountRules,$L804,3))</f>
        <v/>
      </c>
      <c r="J804" s="1" t="str">
        <f>IF($L804="","",INDEX(Ref_AccountRules,$L804,4))</f>
        <v/>
      </c>
      <c r="K804" s="1" t="str">
        <f>IF($L804="","",INDEX(Ref_AccountRules,$L804,5))</f>
        <v/>
      </c>
      <c r="L804" s="1" t="str">
        <f t="shared" si="51"/>
        <v/>
      </c>
    </row>
    <row r="805" spans="2:12" x14ac:dyDescent="0.35">
      <c r="B805" s="12"/>
      <c r="C805" s="11"/>
      <c r="D805" s="11"/>
      <c r="E805" s="11"/>
      <c r="F805" s="1" t="str">
        <f t="shared" si="48"/>
        <v/>
      </c>
      <c r="G805" s="1" t="str">
        <f t="shared" si="49"/>
        <v/>
      </c>
      <c r="H805" s="1" t="str">
        <f t="shared" si="50"/>
        <v/>
      </c>
      <c r="I805" s="1" t="str">
        <f>IF($L805="","",INDEX(Ref_AccountRules,$L805,3))</f>
        <v/>
      </c>
      <c r="J805" s="1" t="str">
        <f>IF($L805="","",INDEX(Ref_AccountRules,$L805,4))</f>
        <v/>
      </c>
      <c r="K805" s="1" t="str">
        <f>IF($L805="","",INDEX(Ref_AccountRules,$L805,5))</f>
        <v/>
      </c>
      <c r="L805" s="1" t="str">
        <f t="shared" si="51"/>
        <v/>
      </c>
    </row>
    <row r="806" spans="2:12" x14ac:dyDescent="0.35">
      <c r="B806" s="12"/>
      <c r="C806" s="11"/>
      <c r="D806" s="11"/>
      <c r="E806" s="11"/>
      <c r="F806" s="1" t="str">
        <f t="shared" si="48"/>
        <v/>
      </c>
      <c r="G806" s="1" t="str">
        <f t="shared" si="49"/>
        <v/>
      </c>
      <c r="H806" s="1" t="str">
        <f t="shared" si="50"/>
        <v/>
      </c>
      <c r="I806" s="1" t="str">
        <f>IF($L806="","",INDEX(Ref_AccountRules,$L806,3))</f>
        <v/>
      </c>
      <c r="J806" s="1" t="str">
        <f>IF($L806="","",INDEX(Ref_AccountRules,$L806,4))</f>
        <v/>
      </c>
      <c r="K806" s="1" t="str">
        <f>IF($L806="","",INDEX(Ref_AccountRules,$L806,5))</f>
        <v/>
      </c>
      <c r="L806" s="1" t="str">
        <f t="shared" si="51"/>
        <v/>
      </c>
    </row>
    <row r="807" spans="2:12" x14ac:dyDescent="0.35">
      <c r="B807" s="12"/>
      <c r="C807" s="11"/>
      <c r="D807" s="11"/>
      <c r="E807" s="11"/>
      <c r="F807" s="1" t="str">
        <f t="shared" si="48"/>
        <v/>
      </c>
      <c r="G807" s="1" t="str">
        <f t="shared" si="49"/>
        <v/>
      </c>
      <c r="H807" s="1" t="str">
        <f t="shared" si="50"/>
        <v/>
      </c>
      <c r="I807" s="1" t="str">
        <f>IF($L807="","",INDEX(Ref_AccountRules,$L807,3))</f>
        <v/>
      </c>
      <c r="J807" s="1" t="str">
        <f>IF($L807="","",INDEX(Ref_AccountRules,$L807,4))</f>
        <v/>
      </c>
      <c r="K807" s="1" t="str">
        <f>IF($L807="","",INDEX(Ref_AccountRules,$L807,5))</f>
        <v/>
      </c>
      <c r="L807" s="1" t="str">
        <f t="shared" si="51"/>
        <v/>
      </c>
    </row>
    <row r="808" spans="2:12" x14ac:dyDescent="0.35">
      <c r="B808" s="12"/>
      <c r="C808" s="11"/>
      <c r="D808" s="11"/>
      <c r="E808" s="11"/>
      <c r="F808" s="1" t="str">
        <f t="shared" si="48"/>
        <v/>
      </c>
      <c r="G808" s="1" t="str">
        <f t="shared" si="49"/>
        <v/>
      </c>
      <c r="H808" s="1" t="str">
        <f t="shared" si="50"/>
        <v/>
      </c>
      <c r="I808" s="1" t="str">
        <f>IF($L808="","",INDEX(Ref_AccountRules,$L808,3))</f>
        <v/>
      </c>
      <c r="J808" s="1" t="str">
        <f>IF($L808="","",INDEX(Ref_AccountRules,$L808,4))</f>
        <v/>
      </c>
      <c r="K808" s="1" t="str">
        <f>IF($L808="","",INDEX(Ref_AccountRules,$L808,5))</f>
        <v/>
      </c>
      <c r="L808" s="1" t="str">
        <f t="shared" si="51"/>
        <v/>
      </c>
    </row>
    <row r="809" spans="2:12" x14ac:dyDescent="0.35">
      <c r="B809" s="12"/>
      <c r="C809" s="11"/>
      <c r="D809" s="11"/>
      <c r="E809" s="11"/>
      <c r="F809" s="1" t="str">
        <f t="shared" si="48"/>
        <v/>
      </c>
      <c r="G809" s="1" t="str">
        <f t="shared" si="49"/>
        <v/>
      </c>
      <c r="H809" s="1" t="str">
        <f t="shared" si="50"/>
        <v/>
      </c>
      <c r="I809" s="1" t="str">
        <f>IF($L809="","",INDEX(Ref_AccountRules,$L809,3))</f>
        <v/>
      </c>
      <c r="J809" s="1" t="str">
        <f>IF($L809="","",INDEX(Ref_AccountRules,$L809,4))</f>
        <v/>
      </c>
      <c r="K809" s="1" t="str">
        <f>IF($L809="","",INDEX(Ref_AccountRules,$L809,5))</f>
        <v/>
      </c>
      <c r="L809" s="1" t="str">
        <f t="shared" si="51"/>
        <v/>
      </c>
    </row>
    <row r="810" spans="2:12" x14ac:dyDescent="0.35">
      <c r="B810" s="12"/>
      <c r="C810" s="11"/>
      <c r="D810" s="11"/>
      <c r="E810" s="11"/>
      <c r="F810" s="1" t="str">
        <f t="shared" si="48"/>
        <v/>
      </c>
      <c r="G810" s="1" t="str">
        <f t="shared" si="49"/>
        <v/>
      </c>
      <c r="H810" s="1" t="str">
        <f t="shared" si="50"/>
        <v/>
      </c>
      <c r="I810" s="1" t="str">
        <f>IF($L810="","",INDEX(Ref_AccountRules,$L810,3))</f>
        <v/>
      </c>
      <c r="J810" s="1" t="str">
        <f>IF($L810="","",INDEX(Ref_AccountRules,$L810,4))</f>
        <v/>
      </c>
      <c r="K810" s="1" t="str">
        <f>IF($L810="","",INDEX(Ref_AccountRules,$L810,5))</f>
        <v/>
      </c>
      <c r="L810" s="1" t="str">
        <f t="shared" si="51"/>
        <v/>
      </c>
    </row>
    <row r="811" spans="2:12" x14ac:dyDescent="0.35">
      <c r="B811" s="12"/>
      <c r="C811" s="11"/>
      <c r="D811" s="11"/>
      <c r="E811" s="11"/>
      <c r="F811" s="1" t="str">
        <f t="shared" si="48"/>
        <v/>
      </c>
      <c r="G811" s="1" t="str">
        <f t="shared" si="49"/>
        <v/>
      </c>
      <c r="H811" s="1" t="str">
        <f t="shared" si="50"/>
        <v/>
      </c>
      <c r="I811" s="1" t="str">
        <f>IF($L811="","",INDEX(Ref_AccountRules,$L811,3))</f>
        <v/>
      </c>
      <c r="J811" s="1" t="str">
        <f>IF($L811="","",INDEX(Ref_AccountRules,$L811,4))</f>
        <v/>
      </c>
      <c r="K811" s="1" t="str">
        <f>IF($L811="","",INDEX(Ref_AccountRules,$L811,5))</f>
        <v/>
      </c>
      <c r="L811" s="1" t="str">
        <f t="shared" si="51"/>
        <v/>
      </c>
    </row>
    <row r="812" spans="2:12" x14ac:dyDescent="0.35">
      <c r="B812" s="12"/>
      <c r="C812" s="11"/>
      <c r="D812" s="11"/>
      <c r="E812" s="11"/>
      <c r="F812" s="1" t="str">
        <f t="shared" si="48"/>
        <v/>
      </c>
      <c r="G812" s="1" t="str">
        <f t="shared" si="49"/>
        <v/>
      </c>
      <c r="H812" s="1" t="str">
        <f t="shared" si="50"/>
        <v/>
      </c>
      <c r="I812" s="1" t="str">
        <f>IF($L812="","",INDEX(Ref_AccountRules,$L812,3))</f>
        <v/>
      </c>
      <c r="J812" s="1" t="str">
        <f>IF($L812="","",INDEX(Ref_AccountRules,$L812,4))</f>
        <v/>
      </c>
      <c r="K812" s="1" t="str">
        <f>IF($L812="","",INDEX(Ref_AccountRules,$L812,5))</f>
        <v/>
      </c>
      <c r="L812" s="1" t="str">
        <f t="shared" si="51"/>
        <v/>
      </c>
    </row>
    <row r="813" spans="2:12" x14ac:dyDescent="0.35">
      <c r="B813" s="12"/>
      <c r="C813" s="11"/>
      <c r="D813" s="11"/>
      <c r="E813" s="11"/>
      <c r="F813" s="1" t="str">
        <f t="shared" si="48"/>
        <v/>
      </c>
      <c r="G813" s="1" t="str">
        <f t="shared" si="49"/>
        <v/>
      </c>
      <c r="H813" s="1" t="str">
        <f t="shared" si="50"/>
        <v/>
      </c>
      <c r="I813" s="1" t="str">
        <f>IF($L813="","",INDEX(Ref_AccountRules,$L813,3))</f>
        <v/>
      </c>
      <c r="J813" s="1" t="str">
        <f>IF($L813="","",INDEX(Ref_AccountRules,$L813,4))</f>
        <v/>
      </c>
      <c r="K813" s="1" t="str">
        <f>IF($L813="","",INDEX(Ref_AccountRules,$L813,5))</f>
        <v/>
      </c>
      <c r="L813" s="1" t="str">
        <f t="shared" si="51"/>
        <v/>
      </c>
    </row>
    <row r="814" spans="2:12" x14ac:dyDescent="0.35">
      <c r="B814" s="12"/>
      <c r="C814" s="11"/>
      <c r="D814" s="11"/>
      <c r="E814" s="11"/>
      <c r="F814" s="1" t="str">
        <f t="shared" si="48"/>
        <v/>
      </c>
      <c r="G814" s="1" t="str">
        <f t="shared" si="49"/>
        <v/>
      </c>
      <c r="H814" s="1" t="str">
        <f t="shared" si="50"/>
        <v/>
      </c>
      <c r="I814" s="1" t="str">
        <f>IF($L814="","",INDEX(Ref_AccountRules,$L814,3))</f>
        <v/>
      </c>
      <c r="J814" s="1" t="str">
        <f>IF($L814="","",INDEX(Ref_AccountRules,$L814,4))</f>
        <v/>
      </c>
      <c r="K814" s="1" t="str">
        <f>IF($L814="","",INDEX(Ref_AccountRules,$L814,5))</f>
        <v/>
      </c>
      <c r="L814" s="1" t="str">
        <f t="shared" si="51"/>
        <v/>
      </c>
    </row>
    <row r="815" spans="2:12" x14ac:dyDescent="0.35">
      <c r="B815" s="12"/>
      <c r="C815" s="11"/>
      <c r="D815" s="11"/>
      <c r="E815" s="11"/>
      <c r="F815" s="1" t="str">
        <f t="shared" si="48"/>
        <v/>
      </c>
      <c r="G815" s="1" t="str">
        <f t="shared" si="49"/>
        <v/>
      </c>
      <c r="H815" s="1" t="str">
        <f t="shared" si="50"/>
        <v/>
      </c>
      <c r="I815" s="1" t="str">
        <f>IF($L815="","",INDEX(Ref_AccountRules,$L815,3))</f>
        <v/>
      </c>
      <c r="J815" s="1" t="str">
        <f>IF($L815="","",INDEX(Ref_AccountRules,$L815,4))</f>
        <v/>
      </c>
      <c r="K815" s="1" t="str">
        <f>IF($L815="","",INDEX(Ref_AccountRules,$L815,5))</f>
        <v/>
      </c>
      <c r="L815" s="1" t="str">
        <f t="shared" si="51"/>
        <v/>
      </c>
    </row>
    <row r="816" spans="2:12" x14ac:dyDescent="0.35">
      <c r="B816" s="12"/>
      <c r="C816" s="11"/>
      <c r="D816" s="11"/>
      <c r="E816" s="11"/>
      <c r="F816" s="1" t="str">
        <f t="shared" si="48"/>
        <v/>
      </c>
      <c r="G816" s="1" t="str">
        <f t="shared" si="49"/>
        <v/>
      </c>
      <c r="H816" s="1" t="str">
        <f t="shared" si="50"/>
        <v/>
      </c>
      <c r="I816" s="1" t="str">
        <f>IF($L816="","",INDEX(Ref_AccountRules,$L816,3))</f>
        <v/>
      </c>
      <c r="J816" s="1" t="str">
        <f>IF($L816="","",INDEX(Ref_AccountRules,$L816,4))</f>
        <v/>
      </c>
      <c r="K816" s="1" t="str">
        <f>IF($L816="","",INDEX(Ref_AccountRules,$L816,5))</f>
        <v/>
      </c>
      <c r="L816" s="1" t="str">
        <f t="shared" si="51"/>
        <v/>
      </c>
    </row>
    <row r="817" spans="2:12" x14ac:dyDescent="0.35">
      <c r="B817" s="12"/>
      <c r="C817" s="11"/>
      <c r="D817" s="11"/>
      <c r="E817" s="11"/>
      <c r="F817" s="1" t="str">
        <f t="shared" si="48"/>
        <v/>
      </c>
      <c r="G817" s="1" t="str">
        <f t="shared" si="49"/>
        <v/>
      </c>
      <c r="H817" s="1" t="str">
        <f t="shared" si="50"/>
        <v/>
      </c>
      <c r="I817" s="1" t="str">
        <f>IF($L817="","",INDEX(Ref_AccountRules,$L817,3))</f>
        <v/>
      </c>
      <c r="J817" s="1" t="str">
        <f>IF($L817="","",INDEX(Ref_AccountRules,$L817,4))</f>
        <v/>
      </c>
      <c r="K817" s="1" t="str">
        <f>IF($L817="","",INDEX(Ref_AccountRules,$L817,5))</f>
        <v/>
      </c>
      <c r="L817" s="1" t="str">
        <f t="shared" si="51"/>
        <v/>
      </c>
    </row>
    <row r="818" spans="2:12" x14ac:dyDescent="0.35">
      <c r="B818" s="12"/>
      <c r="C818" s="11"/>
      <c r="D818" s="11"/>
      <c r="E818" s="11"/>
      <c r="F818" s="1" t="str">
        <f t="shared" si="48"/>
        <v/>
      </c>
      <c r="G818" s="1" t="str">
        <f t="shared" si="49"/>
        <v/>
      </c>
      <c r="H818" s="1" t="str">
        <f t="shared" si="50"/>
        <v/>
      </c>
      <c r="I818" s="1" t="str">
        <f>IF($L818="","",INDEX(Ref_AccountRules,$L818,3))</f>
        <v/>
      </c>
      <c r="J818" s="1" t="str">
        <f>IF($L818="","",INDEX(Ref_AccountRules,$L818,4))</f>
        <v/>
      </c>
      <c r="K818" s="1" t="str">
        <f>IF($L818="","",INDEX(Ref_AccountRules,$L818,5))</f>
        <v/>
      </c>
      <c r="L818" s="1" t="str">
        <f t="shared" si="51"/>
        <v/>
      </c>
    </row>
    <row r="819" spans="2:12" x14ac:dyDescent="0.35">
      <c r="B819" s="12"/>
      <c r="C819" s="11"/>
      <c r="D819" s="11"/>
      <c r="E819" s="11"/>
      <c r="F819" s="1" t="str">
        <f t="shared" si="48"/>
        <v/>
      </c>
      <c r="G819" s="1" t="str">
        <f t="shared" si="49"/>
        <v/>
      </c>
      <c r="H819" s="1" t="str">
        <f t="shared" si="50"/>
        <v/>
      </c>
      <c r="I819" s="1" t="str">
        <f>IF($L819="","",INDEX(Ref_AccountRules,$L819,3))</f>
        <v/>
      </c>
      <c r="J819" s="1" t="str">
        <f>IF($L819="","",INDEX(Ref_AccountRules,$L819,4))</f>
        <v/>
      </c>
      <c r="K819" s="1" t="str">
        <f>IF($L819="","",INDEX(Ref_AccountRules,$L819,5))</f>
        <v/>
      </c>
      <c r="L819" s="1" t="str">
        <f t="shared" si="51"/>
        <v/>
      </c>
    </row>
    <row r="820" spans="2:12" x14ac:dyDescent="0.35">
      <c r="B820" s="12"/>
      <c r="C820" s="11"/>
      <c r="D820" s="11"/>
      <c r="E820" s="11"/>
      <c r="F820" s="1" t="str">
        <f t="shared" si="48"/>
        <v/>
      </c>
      <c r="G820" s="1" t="str">
        <f t="shared" si="49"/>
        <v/>
      </c>
      <c r="H820" s="1" t="str">
        <f t="shared" si="50"/>
        <v/>
      </c>
      <c r="I820" s="1" t="str">
        <f>IF($L820="","",INDEX(Ref_AccountRules,$L820,3))</f>
        <v/>
      </c>
      <c r="J820" s="1" t="str">
        <f>IF($L820="","",INDEX(Ref_AccountRules,$L820,4))</f>
        <v/>
      </c>
      <c r="K820" s="1" t="str">
        <f>IF($L820="","",INDEX(Ref_AccountRules,$L820,5))</f>
        <v/>
      </c>
      <c r="L820" s="1" t="str">
        <f t="shared" si="51"/>
        <v/>
      </c>
    </row>
    <row r="821" spans="2:12" x14ac:dyDescent="0.35">
      <c r="B821" s="12"/>
      <c r="C821" s="11"/>
      <c r="D821" s="11"/>
      <c r="E821" s="11"/>
      <c r="F821" s="1" t="str">
        <f t="shared" si="48"/>
        <v/>
      </c>
      <c r="G821" s="1" t="str">
        <f t="shared" si="49"/>
        <v/>
      </c>
      <c r="H821" s="1" t="str">
        <f t="shared" si="50"/>
        <v/>
      </c>
      <c r="I821" s="1" t="str">
        <f>IF($L821="","",INDEX(Ref_AccountRules,$L821,3))</f>
        <v/>
      </c>
      <c r="J821" s="1" t="str">
        <f>IF($L821="","",INDEX(Ref_AccountRules,$L821,4))</f>
        <v/>
      </c>
      <c r="K821" s="1" t="str">
        <f>IF($L821="","",INDEX(Ref_AccountRules,$L821,5))</f>
        <v/>
      </c>
      <c r="L821" s="1" t="str">
        <f t="shared" si="51"/>
        <v/>
      </c>
    </row>
    <row r="822" spans="2:12" x14ac:dyDescent="0.35">
      <c r="B822" s="12"/>
      <c r="C822" s="11"/>
      <c r="D822" s="11"/>
      <c r="E822" s="11"/>
      <c r="F822" s="1" t="str">
        <f t="shared" si="48"/>
        <v/>
      </c>
      <c r="G822" s="1" t="str">
        <f t="shared" si="49"/>
        <v/>
      </c>
      <c r="H822" s="1" t="str">
        <f t="shared" si="50"/>
        <v/>
      </c>
      <c r="I822" s="1" t="str">
        <f>IF($L822="","",INDEX(Ref_AccountRules,$L822,3))</f>
        <v/>
      </c>
      <c r="J822" s="1" t="str">
        <f>IF($L822="","",INDEX(Ref_AccountRules,$L822,4))</f>
        <v/>
      </c>
      <c r="K822" s="1" t="str">
        <f>IF($L822="","",INDEX(Ref_AccountRules,$L822,5))</f>
        <v/>
      </c>
      <c r="L822" s="1" t="str">
        <f t="shared" si="51"/>
        <v/>
      </c>
    </row>
    <row r="823" spans="2:12" x14ac:dyDescent="0.35">
      <c r="B823" s="12"/>
      <c r="C823" s="11"/>
      <c r="D823" s="11"/>
      <c r="E823" s="11"/>
      <c r="F823" s="1" t="str">
        <f t="shared" si="48"/>
        <v/>
      </c>
      <c r="G823" s="1" t="str">
        <f t="shared" si="49"/>
        <v/>
      </c>
      <c r="H823" s="1" t="str">
        <f t="shared" si="50"/>
        <v/>
      </c>
      <c r="I823" s="1" t="str">
        <f>IF($L823="","",INDEX(Ref_AccountRules,$L823,3))</f>
        <v/>
      </c>
      <c r="J823" s="1" t="str">
        <f>IF($L823="","",INDEX(Ref_AccountRules,$L823,4))</f>
        <v/>
      </c>
      <c r="K823" s="1" t="str">
        <f>IF($L823="","",INDEX(Ref_AccountRules,$L823,5))</f>
        <v/>
      </c>
      <c r="L823" s="1" t="str">
        <f t="shared" si="51"/>
        <v/>
      </c>
    </row>
    <row r="824" spans="2:12" x14ac:dyDescent="0.35">
      <c r="B824" s="12"/>
      <c r="C824" s="11"/>
      <c r="D824" s="11"/>
      <c r="E824" s="11"/>
      <c r="F824" s="1" t="str">
        <f t="shared" si="48"/>
        <v/>
      </c>
      <c r="G824" s="1" t="str">
        <f t="shared" si="49"/>
        <v/>
      </c>
      <c r="H824" s="1" t="str">
        <f t="shared" si="50"/>
        <v/>
      </c>
      <c r="I824" s="1" t="str">
        <f>IF($L824="","",INDEX(Ref_AccountRules,$L824,3))</f>
        <v/>
      </c>
      <c r="J824" s="1" t="str">
        <f>IF($L824="","",INDEX(Ref_AccountRules,$L824,4))</f>
        <v/>
      </c>
      <c r="K824" s="1" t="str">
        <f>IF($L824="","",INDEX(Ref_AccountRules,$L824,5))</f>
        <v/>
      </c>
      <c r="L824" s="1" t="str">
        <f t="shared" si="51"/>
        <v/>
      </c>
    </row>
    <row r="825" spans="2:12" x14ac:dyDescent="0.35">
      <c r="B825" s="12"/>
      <c r="C825" s="11"/>
      <c r="D825" s="11"/>
      <c r="E825" s="11"/>
      <c r="F825" s="1" t="str">
        <f t="shared" si="48"/>
        <v/>
      </c>
      <c r="G825" s="1" t="str">
        <f t="shared" si="49"/>
        <v/>
      </c>
      <c r="H825" s="1" t="str">
        <f t="shared" si="50"/>
        <v/>
      </c>
      <c r="I825" s="1" t="str">
        <f>IF($L825="","",INDEX(Ref_AccountRules,$L825,3))</f>
        <v/>
      </c>
      <c r="J825" s="1" t="str">
        <f>IF($L825="","",INDEX(Ref_AccountRules,$L825,4))</f>
        <v/>
      </c>
      <c r="K825" s="1" t="str">
        <f>IF($L825="","",INDEX(Ref_AccountRules,$L825,5))</f>
        <v/>
      </c>
      <c r="L825" s="1" t="str">
        <f t="shared" si="51"/>
        <v/>
      </c>
    </row>
    <row r="826" spans="2:12" x14ac:dyDescent="0.35">
      <c r="B826" s="12"/>
      <c r="C826" s="11"/>
      <c r="D826" s="11"/>
      <c r="E826" s="11"/>
      <c r="F826" s="1" t="str">
        <f t="shared" si="48"/>
        <v/>
      </c>
      <c r="G826" s="1" t="str">
        <f t="shared" si="49"/>
        <v/>
      </c>
      <c r="H826" s="1" t="str">
        <f t="shared" si="50"/>
        <v/>
      </c>
      <c r="I826" s="1" t="str">
        <f>IF($L826="","",INDEX(Ref_AccountRules,$L826,3))</f>
        <v/>
      </c>
      <c r="J826" s="1" t="str">
        <f>IF($L826="","",INDEX(Ref_AccountRules,$L826,4))</f>
        <v/>
      </c>
      <c r="K826" s="1" t="str">
        <f>IF($L826="","",INDEX(Ref_AccountRules,$L826,5))</f>
        <v/>
      </c>
      <c r="L826" s="1" t="str">
        <f t="shared" si="51"/>
        <v/>
      </c>
    </row>
    <row r="827" spans="2:12" x14ac:dyDescent="0.35">
      <c r="B827" s="12"/>
      <c r="C827" s="11"/>
      <c r="D827" s="11"/>
      <c r="E827" s="11"/>
      <c r="F827" s="1" t="str">
        <f t="shared" si="48"/>
        <v/>
      </c>
      <c r="G827" s="1" t="str">
        <f t="shared" si="49"/>
        <v/>
      </c>
      <c r="H827" s="1" t="str">
        <f t="shared" si="50"/>
        <v/>
      </c>
      <c r="I827" s="1" t="str">
        <f>IF($L827="","",INDEX(Ref_AccountRules,$L827,3))</f>
        <v/>
      </c>
      <c r="J827" s="1" t="str">
        <f>IF($L827="","",INDEX(Ref_AccountRules,$L827,4))</f>
        <v/>
      </c>
      <c r="K827" s="1" t="str">
        <f>IF($L827="","",INDEX(Ref_AccountRules,$L827,5))</f>
        <v/>
      </c>
      <c r="L827" s="1" t="str">
        <f t="shared" si="51"/>
        <v/>
      </c>
    </row>
    <row r="828" spans="2:12" x14ac:dyDescent="0.35">
      <c r="B828" s="12"/>
      <c r="C828" s="11"/>
      <c r="D828" s="11"/>
      <c r="E828" s="11"/>
      <c r="F828" s="1" t="str">
        <f t="shared" si="48"/>
        <v/>
      </c>
      <c r="G828" s="1" t="str">
        <f t="shared" si="49"/>
        <v/>
      </c>
      <c r="H828" s="1" t="str">
        <f t="shared" si="50"/>
        <v/>
      </c>
      <c r="I828" s="1" t="str">
        <f>IF($L828="","",INDEX(Ref_AccountRules,$L828,3))</f>
        <v/>
      </c>
      <c r="J828" s="1" t="str">
        <f>IF($L828="","",INDEX(Ref_AccountRules,$L828,4))</f>
        <v/>
      </c>
      <c r="K828" s="1" t="str">
        <f>IF($L828="","",INDEX(Ref_AccountRules,$L828,5))</f>
        <v/>
      </c>
      <c r="L828" s="1" t="str">
        <f t="shared" si="51"/>
        <v/>
      </c>
    </row>
    <row r="829" spans="2:12" x14ac:dyDescent="0.35">
      <c r="B829" s="12"/>
      <c r="C829" s="11"/>
      <c r="D829" s="11"/>
      <c r="E829" s="11"/>
      <c r="F829" s="1" t="str">
        <f t="shared" si="48"/>
        <v/>
      </c>
      <c r="G829" s="1" t="str">
        <f t="shared" si="49"/>
        <v/>
      </c>
      <c r="H829" s="1" t="str">
        <f t="shared" si="50"/>
        <v/>
      </c>
      <c r="I829" s="1" t="str">
        <f>IF($L829="","",INDEX(Ref_AccountRules,$L829,3))</f>
        <v/>
      </c>
      <c r="J829" s="1" t="str">
        <f>IF($L829="","",INDEX(Ref_AccountRules,$L829,4))</f>
        <v/>
      </c>
      <c r="K829" s="1" t="str">
        <f>IF($L829="","",INDEX(Ref_AccountRules,$L829,5))</f>
        <v/>
      </c>
      <c r="L829" s="1" t="str">
        <f t="shared" si="51"/>
        <v/>
      </c>
    </row>
    <row r="830" spans="2:12" x14ac:dyDescent="0.35">
      <c r="B830" s="12"/>
      <c r="C830" s="11"/>
      <c r="D830" s="11"/>
      <c r="E830" s="11"/>
      <c r="F830" s="1" t="str">
        <f t="shared" si="48"/>
        <v/>
      </c>
      <c r="G830" s="1" t="str">
        <f t="shared" si="49"/>
        <v/>
      </c>
      <c r="H830" s="1" t="str">
        <f t="shared" si="50"/>
        <v/>
      </c>
      <c r="I830" s="1" t="str">
        <f>IF($L830="","",INDEX(Ref_AccountRules,$L830,3))</f>
        <v/>
      </c>
      <c r="J830" s="1" t="str">
        <f>IF($L830="","",INDEX(Ref_AccountRules,$L830,4))</f>
        <v/>
      </c>
      <c r="K830" s="1" t="str">
        <f>IF($L830="","",INDEX(Ref_AccountRules,$L830,5))</f>
        <v/>
      </c>
      <c r="L830" s="1" t="str">
        <f t="shared" si="51"/>
        <v/>
      </c>
    </row>
    <row r="831" spans="2:12" x14ac:dyDescent="0.35">
      <c r="B831" s="12"/>
      <c r="C831" s="11"/>
      <c r="D831" s="11"/>
      <c r="E831" s="11"/>
      <c r="F831" s="1" t="str">
        <f t="shared" si="48"/>
        <v/>
      </c>
      <c r="G831" s="1" t="str">
        <f t="shared" si="49"/>
        <v/>
      </c>
      <c r="H831" s="1" t="str">
        <f t="shared" si="50"/>
        <v/>
      </c>
      <c r="I831" s="1" t="str">
        <f>IF($L831="","",INDEX(Ref_AccountRules,$L831,3))</f>
        <v/>
      </c>
      <c r="J831" s="1" t="str">
        <f>IF($L831="","",INDEX(Ref_AccountRules,$L831,4))</f>
        <v/>
      </c>
      <c r="K831" s="1" t="str">
        <f>IF($L831="","",INDEX(Ref_AccountRules,$L831,5))</f>
        <v/>
      </c>
      <c r="L831" s="1" t="str">
        <f t="shared" si="51"/>
        <v/>
      </c>
    </row>
    <row r="832" spans="2:12" x14ac:dyDescent="0.35">
      <c r="B832" s="12"/>
      <c r="C832" s="11"/>
      <c r="D832" s="11"/>
      <c r="E832" s="11"/>
      <c r="F832" s="1" t="str">
        <f t="shared" si="48"/>
        <v/>
      </c>
      <c r="G832" s="1" t="str">
        <f t="shared" si="49"/>
        <v/>
      </c>
      <c r="H832" s="1" t="str">
        <f t="shared" si="50"/>
        <v/>
      </c>
      <c r="I832" s="1" t="str">
        <f>IF($L832="","",INDEX(Ref_AccountRules,$L832,3))</f>
        <v/>
      </c>
      <c r="J832" s="1" t="str">
        <f>IF($L832="","",INDEX(Ref_AccountRules,$L832,4))</f>
        <v/>
      </c>
      <c r="K832" s="1" t="str">
        <f>IF($L832="","",INDEX(Ref_AccountRules,$L832,5))</f>
        <v/>
      </c>
      <c r="L832" s="1" t="str">
        <f t="shared" si="51"/>
        <v/>
      </c>
    </row>
    <row r="833" spans="2:12" x14ac:dyDescent="0.35">
      <c r="B833" s="12"/>
      <c r="C833" s="11"/>
      <c r="D833" s="11"/>
      <c r="E833" s="11"/>
      <c r="F833" s="1" t="str">
        <f t="shared" si="48"/>
        <v/>
      </c>
      <c r="G833" s="1" t="str">
        <f t="shared" si="49"/>
        <v/>
      </c>
      <c r="H833" s="1" t="str">
        <f t="shared" si="50"/>
        <v/>
      </c>
      <c r="I833" s="1" t="str">
        <f>IF($L833="","",INDEX(Ref_AccountRules,$L833,3))</f>
        <v/>
      </c>
      <c r="J833" s="1" t="str">
        <f>IF($L833="","",INDEX(Ref_AccountRules,$L833,4))</f>
        <v/>
      </c>
      <c r="K833" s="1" t="str">
        <f>IF($L833="","",INDEX(Ref_AccountRules,$L833,5))</f>
        <v/>
      </c>
      <c r="L833" s="1" t="str">
        <f t="shared" si="51"/>
        <v/>
      </c>
    </row>
    <row r="834" spans="2:12" x14ac:dyDescent="0.35">
      <c r="B834" s="12"/>
      <c r="C834" s="11"/>
      <c r="D834" s="11"/>
      <c r="E834" s="11"/>
      <c r="F834" s="1" t="str">
        <f t="shared" si="48"/>
        <v/>
      </c>
      <c r="G834" s="1" t="str">
        <f t="shared" si="49"/>
        <v/>
      </c>
      <c r="H834" s="1" t="str">
        <f t="shared" si="50"/>
        <v/>
      </c>
      <c r="I834" s="1" t="str">
        <f>IF($L834="","",INDEX(Ref_AccountRules,$L834,3))</f>
        <v/>
      </c>
      <c r="J834" s="1" t="str">
        <f>IF($L834="","",INDEX(Ref_AccountRules,$L834,4))</f>
        <v/>
      </c>
      <c r="K834" s="1" t="str">
        <f>IF($L834="","",INDEX(Ref_AccountRules,$L834,5))</f>
        <v/>
      </c>
      <c r="L834" s="1" t="str">
        <f t="shared" si="51"/>
        <v/>
      </c>
    </row>
    <row r="835" spans="2:12" x14ac:dyDescent="0.35">
      <c r="B835" s="12"/>
      <c r="C835" s="11"/>
      <c r="D835" s="11"/>
      <c r="E835" s="11"/>
      <c r="F835" s="1" t="str">
        <f t="shared" si="48"/>
        <v/>
      </c>
      <c r="G835" s="1" t="str">
        <f t="shared" si="49"/>
        <v/>
      </c>
      <c r="H835" s="1" t="str">
        <f t="shared" si="50"/>
        <v/>
      </c>
      <c r="I835" s="1" t="str">
        <f>IF($L835="","",INDEX(Ref_AccountRules,$L835,3))</f>
        <v/>
      </c>
      <c r="J835" s="1" t="str">
        <f>IF($L835="","",INDEX(Ref_AccountRules,$L835,4))</f>
        <v/>
      </c>
      <c r="K835" s="1" t="str">
        <f>IF($L835="","",INDEX(Ref_AccountRules,$L835,5))</f>
        <v/>
      </c>
      <c r="L835" s="1" t="str">
        <f t="shared" si="51"/>
        <v/>
      </c>
    </row>
    <row r="836" spans="2:12" x14ac:dyDescent="0.35">
      <c r="B836" s="12"/>
      <c r="C836" s="11"/>
      <c r="D836" s="11"/>
      <c r="E836" s="11"/>
      <c r="F836" s="1" t="str">
        <f t="shared" si="48"/>
        <v/>
      </c>
      <c r="G836" s="1" t="str">
        <f t="shared" si="49"/>
        <v/>
      </c>
      <c r="H836" s="1" t="str">
        <f t="shared" si="50"/>
        <v/>
      </c>
      <c r="I836" s="1" t="str">
        <f>IF($L836="","",INDEX(Ref_AccountRules,$L836,3))</f>
        <v/>
      </c>
      <c r="J836" s="1" t="str">
        <f>IF($L836="","",INDEX(Ref_AccountRules,$L836,4))</f>
        <v/>
      </c>
      <c r="K836" s="1" t="str">
        <f>IF($L836="","",INDEX(Ref_AccountRules,$L836,5))</f>
        <v/>
      </c>
      <c r="L836" s="1" t="str">
        <f t="shared" si="51"/>
        <v/>
      </c>
    </row>
    <row r="837" spans="2:12" x14ac:dyDescent="0.35">
      <c r="B837" s="12"/>
      <c r="C837" s="11"/>
      <c r="D837" s="11"/>
      <c r="E837" s="11"/>
      <c r="F837" s="1" t="str">
        <f t="shared" si="48"/>
        <v/>
      </c>
      <c r="G837" s="1" t="str">
        <f t="shared" si="49"/>
        <v/>
      </c>
      <c r="H837" s="1" t="str">
        <f t="shared" si="50"/>
        <v/>
      </c>
      <c r="I837" s="1" t="str">
        <f>IF($L837="","",INDEX(Ref_AccountRules,$L837,3))</f>
        <v/>
      </c>
      <c r="J837" s="1" t="str">
        <f>IF($L837="","",INDEX(Ref_AccountRules,$L837,4))</f>
        <v/>
      </c>
      <c r="K837" s="1" t="str">
        <f>IF($L837="","",INDEX(Ref_AccountRules,$L837,5))</f>
        <v/>
      </c>
      <c r="L837" s="1" t="str">
        <f t="shared" si="51"/>
        <v/>
      </c>
    </row>
    <row r="838" spans="2:12" x14ac:dyDescent="0.35">
      <c r="B838" s="12"/>
      <c r="C838" s="11"/>
      <c r="D838" s="11"/>
      <c r="E838" s="11"/>
      <c r="F838" s="1" t="str">
        <f t="shared" si="48"/>
        <v/>
      </c>
      <c r="G838" s="1" t="str">
        <f t="shared" si="49"/>
        <v/>
      </c>
      <c r="H838" s="1" t="str">
        <f t="shared" si="50"/>
        <v/>
      </c>
      <c r="I838" s="1" t="str">
        <f>IF($L838="","",INDEX(Ref_AccountRules,$L838,3))</f>
        <v/>
      </c>
      <c r="J838" s="1" t="str">
        <f>IF($L838="","",INDEX(Ref_AccountRules,$L838,4))</f>
        <v/>
      </c>
      <c r="K838" s="1" t="str">
        <f>IF($L838="","",INDEX(Ref_AccountRules,$L838,5))</f>
        <v/>
      </c>
      <c r="L838" s="1" t="str">
        <f t="shared" si="51"/>
        <v/>
      </c>
    </row>
    <row r="839" spans="2:12" x14ac:dyDescent="0.35">
      <c r="B839" s="12"/>
      <c r="C839" s="11"/>
      <c r="D839" s="11"/>
      <c r="E839" s="11"/>
      <c r="F839" s="1" t="str">
        <f t="shared" si="48"/>
        <v/>
      </c>
      <c r="G839" s="1" t="str">
        <f t="shared" si="49"/>
        <v/>
      </c>
      <c r="H839" s="1" t="str">
        <f t="shared" si="50"/>
        <v/>
      </c>
      <c r="I839" s="1" t="str">
        <f>IF($L839="","",INDEX(Ref_AccountRules,$L839,3))</f>
        <v/>
      </c>
      <c r="J839" s="1" t="str">
        <f>IF($L839="","",INDEX(Ref_AccountRules,$L839,4))</f>
        <v/>
      </c>
      <c r="K839" s="1" t="str">
        <f>IF($L839="","",INDEX(Ref_AccountRules,$L839,5))</f>
        <v/>
      </c>
      <c r="L839" s="1" t="str">
        <f t="shared" si="51"/>
        <v/>
      </c>
    </row>
    <row r="840" spans="2:12" x14ac:dyDescent="0.35">
      <c r="B840" s="12"/>
      <c r="C840" s="11"/>
      <c r="D840" s="11"/>
      <c r="E840" s="11"/>
      <c r="F840" s="1" t="str">
        <f t="shared" si="48"/>
        <v/>
      </c>
      <c r="G840" s="1" t="str">
        <f t="shared" si="49"/>
        <v/>
      </c>
      <c r="H840" s="1" t="str">
        <f t="shared" si="50"/>
        <v/>
      </c>
      <c r="I840" s="1" t="str">
        <f>IF($L840="","",INDEX(Ref_AccountRules,$L840,3))</f>
        <v/>
      </c>
      <c r="J840" s="1" t="str">
        <f>IF($L840="","",INDEX(Ref_AccountRules,$L840,4))</f>
        <v/>
      </c>
      <c r="K840" s="1" t="str">
        <f>IF($L840="","",INDEX(Ref_AccountRules,$L840,5))</f>
        <v/>
      </c>
      <c r="L840" s="1" t="str">
        <f t="shared" si="51"/>
        <v/>
      </c>
    </row>
    <row r="841" spans="2:12" x14ac:dyDescent="0.35">
      <c r="B841" s="12"/>
      <c r="C841" s="11"/>
      <c r="D841" s="11"/>
      <c r="E841" s="11"/>
      <c r="F841" s="1" t="str">
        <f t="shared" si="48"/>
        <v/>
      </c>
      <c r="G841" s="1" t="str">
        <f t="shared" si="49"/>
        <v/>
      </c>
      <c r="H841" s="1" t="str">
        <f t="shared" si="50"/>
        <v/>
      </c>
      <c r="I841" s="1" t="str">
        <f>IF($L841="","",INDEX(Ref_AccountRules,$L841,3))</f>
        <v/>
      </c>
      <c r="J841" s="1" t="str">
        <f>IF($L841="","",INDEX(Ref_AccountRules,$L841,4))</f>
        <v/>
      </c>
      <c r="K841" s="1" t="str">
        <f>IF($L841="","",INDEX(Ref_AccountRules,$L841,5))</f>
        <v/>
      </c>
      <c r="L841" s="1" t="str">
        <f t="shared" si="51"/>
        <v/>
      </c>
    </row>
    <row r="842" spans="2:12" x14ac:dyDescent="0.35">
      <c r="B842" s="12"/>
      <c r="C842" s="11"/>
      <c r="D842" s="11"/>
      <c r="E842" s="11"/>
      <c r="F842" s="1" t="str">
        <f t="shared" si="48"/>
        <v/>
      </c>
      <c r="G842" s="1" t="str">
        <f t="shared" si="49"/>
        <v/>
      </c>
      <c r="H842" s="1" t="str">
        <f t="shared" si="50"/>
        <v/>
      </c>
      <c r="I842" s="1" t="str">
        <f>IF($L842="","",INDEX(Ref_AccountRules,$L842,3))</f>
        <v/>
      </c>
      <c r="J842" s="1" t="str">
        <f>IF($L842="","",INDEX(Ref_AccountRules,$L842,4))</f>
        <v/>
      </c>
      <c r="K842" s="1" t="str">
        <f>IF($L842="","",INDEX(Ref_AccountRules,$L842,5))</f>
        <v/>
      </c>
      <c r="L842" s="1" t="str">
        <f t="shared" si="51"/>
        <v/>
      </c>
    </row>
    <row r="843" spans="2:12" x14ac:dyDescent="0.35">
      <c r="B843" s="12"/>
      <c r="C843" s="11"/>
      <c r="D843" s="11"/>
      <c r="E843" s="11"/>
      <c r="F843" s="1" t="str">
        <f t="shared" ref="F843:F906" si="52">IF($B843="","",E843-D843)</f>
        <v/>
      </c>
      <c r="G843" s="1" t="str">
        <f t="shared" ref="G843:G906" si="53">IF($B843="","",IF(D843=0,0,(E843-D843)/ABS(D843)*100))</f>
        <v/>
      </c>
      <c r="H843" s="1" t="str">
        <f t="shared" ref="H843:H906" si="54">IF($B843="","",IF(LEFT($B843,6)="606880","emballages",IF(LEFT($B843,4)="6068","emballages",IF(LEFT($B843,3)="606","energie_dechets",IF(LEFT($B843,3)="164","tresorerie_financement",IF(LEFT($B843,2)="20","immobilisations",IF(LEFT($B843,2)="21","immobilisations",IF(LEFT($B843,2)="22","immobilisations",IF(LEFT($B843,2)="23","immobilisations",IF(LEFT($B843,2)="28","immobilisations",IF(LEFT($B843,2)="40","fournisseurs",IF(LEFT($B843,2)="41","clients",IF(LEFT($B843,2)="32","stocks",IF(LEFT($B843,2)="60","charges",IF(LEFT($B843,2)="61","services",IF(LEFT($B843,2)="62","personnel",IF(LEFT($B843,2)="63","fiscal",IF(LEFT($B843,2)="64","financier","autres"))))))))))))))))))</f>
        <v/>
      </c>
      <c r="I843" s="1" t="str">
        <f>IF($L843="","",INDEX(Ref_AccountRules,$L843,3))</f>
        <v/>
      </c>
      <c r="J843" s="1" t="str">
        <f>IF($L843="","",INDEX(Ref_AccountRules,$L843,4))</f>
        <v/>
      </c>
      <c r="K843" s="1" t="str">
        <f>IF($L843="","",INDEX(Ref_AccountRules,$L843,5))</f>
        <v/>
      </c>
      <c r="L843" s="1" t="str">
        <f t="shared" ref="L843:L906" si="55">IF($B843="","",IF(LEFT($B843,3)="215",1,IF(LEFT($B843,4)="2183",2,IF(LEFT($B843,3)="401",3,IF(LEFT($B843,3)="411",4,IF(LEFT($B843,3)="322",5,IF(LEFT($B843,4)="3220",6,IF(LEFT($B843,5)="32200",7,IF(LEFT($B843,3)="625",8,IF(LEFT($B843,3)="606",9,IF(LEFT($B843,3)="164",10,IF(LEFT($B843,6)="606880",11,""))))))))))))</f>
        <v/>
      </c>
    </row>
    <row r="844" spans="2:12" x14ac:dyDescent="0.35">
      <c r="B844" s="12"/>
      <c r="C844" s="11"/>
      <c r="D844" s="11"/>
      <c r="E844" s="11"/>
      <c r="F844" s="1" t="str">
        <f t="shared" si="52"/>
        <v/>
      </c>
      <c r="G844" s="1" t="str">
        <f t="shared" si="53"/>
        <v/>
      </c>
      <c r="H844" s="1" t="str">
        <f t="shared" si="54"/>
        <v/>
      </c>
      <c r="I844" s="1" t="str">
        <f>IF($L844="","",INDEX(Ref_AccountRules,$L844,3))</f>
        <v/>
      </c>
      <c r="J844" s="1" t="str">
        <f>IF($L844="","",INDEX(Ref_AccountRules,$L844,4))</f>
        <v/>
      </c>
      <c r="K844" s="1" t="str">
        <f>IF($L844="","",INDEX(Ref_AccountRules,$L844,5))</f>
        <v/>
      </c>
      <c r="L844" s="1" t="str">
        <f t="shared" si="55"/>
        <v/>
      </c>
    </row>
    <row r="845" spans="2:12" x14ac:dyDescent="0.35">
      <c r="B845" s="12"/>
      <c r="C845" s="11"/>
      <c r="D845" s="11"/>
      <c r="E845" s="11"/>
      <c r="F845" s="1" t="str">
        <f t="shared" si="52"/>
        <v/>
      </c>
      <c r="G845" s="1" t="str">
        <f t="shared" si="53"/>
        <v/>
      </c>
      <c r="H845" s="1" t="str">
        <f t="shared" si="54"/>
        <v/>
      </c>
      <c r="I845" s="1" t="str">
        <f>IF($L845="","",INDEX(Ref_AccountRules,$L845,3))</f>
        <v/>
      </c>
      <c r="J845" s="1" t="str">
        <f>IF($L845="","",INDEX(Ref_AccountRules,$L845,4))</f>
        <v/>
      </c>
      <c r="K845" s="1" t="str">
        <f>IF($L845="","",INDEX(Ref_AccountRules,$L845,5))</f>
        <v/>
      </c>
      <c r="L845" s="1" t="str">
        <f t="shared" si="55"/>
        <v/>
      </c>
    </row>
    <row r="846" spans="2:12" x14ac:dyDescent="0.35">
      <c r="B846" s="12"/>
      <c r="C846" s="11"/>
      <c r="D846" s="11"/>
      <c r="E846" s="11"/>
      <c r="F846" s="1" t="str">
        <f t="shared" si="52"/>
        <v/>
      </c>
      <c r="G846" s="1" t="str">
        <f t="shared" si="53"/>
        <v/>
      </c>
      <c r="H846" s="1" t="str">
        <f t="shared" si="54"/>
        <v/>
      </c>
      <c r="I846" s="1" t="str">
        <f>IF($L846="","",INDEX(Ref_AccountRules,$L846,3))</f>
        <v/>
      </c>
      <c r="J846" s="1" t="str">
        <f>IF($L846="","",INDEX(Ref_AccountRules,$L846,4))</f>
        <v/>
      </c>
      <c r="K846" s="1" t="str">
        <f>IF($L846="","",INDEX(Ref_AccountRules,$L846,5))</f>
        <v/>
      </c>
      <c r="L846" s="1" t="str">
        <f t="shared" si="55"/>
        <v/>
      </c>
    </row>
    <row r="847" spans="2:12" x14ac:dyDescent="0.35">
      <c r="B847" s="12"/>
      <c r="C847" s="11"/>
      <c r="D847" s="11"/>
      <c r="E847" s="11"/>
      <c r="F847" s="1" t="str">
        <f t="shared" si="52"/>
        <v/>
      </c>
      <c r="G847" s="1" t="str">
        <f t="shared" si="53"/>
        <v/>
      </c>
      <c r="H847" s="1" t="str">
        <f t="shared" si="54"/>
        <v/>
      </c>
      <c r="I847" s="1" t="str">
        <f>IF($L847="","",INDEX(Ref_AccountRules,$L847,3))</f>
        <v/>
      </c>
      <c r="J847" s="1" t="str">
        <f>IF($L847="","",INDEX(Ref_AccountRules,$L847,4))</f>
        <v/>
      </c>
      <c r="K847" s="1" t="str">
        <f>IF($L847="","",INDEX(Ref_AccountRules,$L847,5))</f>
        <v/>
      </c>
      <c r="L847" s="1" t="str">
        <f t="shared" si="55"/>
        <v/>
      </c>
    </row>
    <row r="848" spans="2:12" x14ac:dyDescent="0.35">
      <c r="B848" s="12"/>
      <c r="C848" s="11"/>
      <c r="D848" s="11"/>
      <c r="E848" s="11"/>
      <c r="F848" s="1" t="str">
        <f t="shared" si="52"/>
        <v/>
      </c>
      <c r="G848" s="1" t="str">
        <f t="shared" si="53"/>
        <v/>
      </c>
      <c r="H848" s="1" t="str">
        <f t="shared" si="54"/>
        <v/>
      </c>
      <c r="I848" s="1" t="str">
        <f>IF($L848="","",INDEX(Ref_AccountRules,$L848,3))</f>
        <v/>
      </c>
      <c r="J848" s="1" t="str">
        <f>IF($L848="","",INDEX(Ref_AccountRules,$L848,4))</f>
        <v/>
      </c>
      <c r="K848" s="1" t="str">
        <f>IF($L848="","",INDEX(Ref_AccountRules,$L848,5))</f>
        <v/>
      </c>
      <c r="L848" s="1" t="str">
        <f t="shared" si="55"/>
        <v/>
      </c>
    </row>
    <row r="849" spans="2:12" x14ac:dyDescent="0.35">
      <c r="B849" s="12"/>
      <c r="C849" s="11"/>
      <c r="D849" s="11"/>
      <c r="E849" s="11"/>
      <c r="F849" s="1" t="str">
        <f t="shared" si="52"/>
        <v/>
      </c>
      <c r="G849" s="1" t="str">
        <f t="shared" si="53"/>
        <v/>
      </c>
      <c r="H849" s="1" t="str">
        <f t="shared" si="54"/>
        <v/>
      </c>
      <c r="I849" s="1" t="str">
        <f>IF($L849="","",INDEX(Ref_AccountRules,$L849,3))</f>
        <v/>
      </c>
      <c r="J849" s="1" t="str">
        <f>IF($L849="","",INDEX(Ref_AccountRules,$L849,4))</f>
        <v/>
      </c>
      <c r="K849" s="1" t="str">
        <f>IF($L849="","",INDEX(Ref_AccountRules,$L849,5))</f>
        <v/>
      </c>
      <c r="L849" s="1" t="str">
        <f t="shared" si="55"/>
        <v/>
      </c>
    </row>
    <row r="850" spans="2:12" x14ac:dyDescent="0.35">
      <c r="B850" s="12"/>
      <c r="C850" s="11"/>
      <c r="D850" s="11"/>
      <c r="E850" s="11"/>
      <c r="F850" s="1" t="str">
        <f t="shared" si="52"/>
        <v/>
      </c>
      <c r="G850" s="1" t="str">
        <f t="shared" si="53"/>
        <v/>
      </c>
      <c r="H850" s="1" t="str">
        <f t="shared" si="54"/>
        <v/>
      </c>
      <c r="I850" s="1" t="str">
        <f>IF($L850="","",INDEX(Ref_AccountRules,$L850,3))</f>
        <v/>
      </c>
      <c r="J850" s="1" t="str">
        <f>IF($L850="","",INDEX(Ref_AccountRules,$L850,4))</f>
        <v/>
      </c>
      <c r="K850" s="1" t="str">
        <f>IF($L850="","",INDEX(Ref_AccountRules,$L850,5))</f>
        <v/>
      </c>
      <c r="L850" s="1" t="str">
        <f t="shared" si="55"/>
        <v/>
      </c>
    </row>
    <row r="851" spans="2:12" x14ac:dyDescent="0.35">
      <c r="B851" s="12"/>
      <c r="C851" s="11"/>
      <c r="D851" s="11"/>
      <c r="E851" s="11"/>
      <c r="F851" s="1" t="str">
        <f t="shared" si="52"/>
        <v/>
      </c>
      <c r="G851" s="1" t="str">
        <f t="shared" si="53"/>
        <v/>
      </c>
      <c r="H851" s="1" t="str">
        <f t="shared" si="54"/>
        <v/>
      </c>
      <c r="I851" s="1" t="str">
        <f>IF($L851="","",INDEX(Ref_AccountRules,$L851,3))</f>
        <v/>
      </c>
      <c r="J851" s="1" t="str">
        <f>IF($L851="","",INDEX(Ref_AccountRules,$L851,4))</f>
        <v/>
      </c>
      <c r="K851" s="1" t="str">
        <f>IF($L851="","",INDEX(Ref_AccountRules,$L851,5))</f>
        <v/>
      </c>
      <c r="L851" s="1" t="str">
        <f t="shared" si="55"/>
        <v/>
      </c>
    </row>
    <row r="852" spans="2:12" x14ac:dyDescent="0.35">
      <c r="B852" s="12"/>
      <c r="C852" s="11"/>
      <c r="D852" s="11"/>
      <c r="E852" s="11"/>
      <c r="F852" s="1" t="str">
        <f t="shared" si="52"/>
        <v/>
      </c>
      <c r="G852" s="1" t="str">
        <f t="shared" si="53"/>
        <v/>
      </c>
      <c r="H852" s="1" t="str">
        <f t="shared" si="54"/>
        <v/>
      </c>
      <c r="I852" s="1" t="str">
        <f>IF($L852="","",INDEX(Ref_AccountRules,$L852,3))</f>
        <v/>
      </c>
      <c r="J852" s="1" t="str">
        <f>IF($L852="","",INDEX(Ref_AccountRules,$L852,4))</f>
        <v/>
      </c>
      <c r="K852" s="1" t="str">
        <f>IF($L852="","",INDEX(Ref_AccountRules,$L852,5))</f>
        <v/>
      </c>
      <c r="L852" s="1" t="str">
        <f t="shared" si="55"/>
        <v/>
      </c>
    </row>
    <row r="853" spans="2:12" x14ac:dyDescent="0.35">
      <c r="B853" s="12"/>
      <c r="C853" s="11"/>
      <c r="D853" s="11"/>
      <c r="E853" s="11"/>
      <c r="F853" s="1" t="str">
        <f t="shared" si="52"/>
        <v/>
      </c>
      <c r="G853" s="1" t="str">
        <f t="shared" si="53"/>
        <v/>
      </c>
      <c r="H853" s="1" t="str">
        <f t="shared" si="54"/>
        <v/>
      </c>
      <c r="I853" s="1" t="str">
        <f>IF($L853="","",INDEX(Ref_AccountRules,$L853,3))</f>
        <v/>
      </c>
      <c r="J853" s="1" t="str">
        <f>IF($L853="","",INDEX(Ref_AccountRules,$L853,4))</f>
        <v/>
      </c>
      <c r="K853" s="1" t="str">
        <f>IF($L853="","",INDEX(Ref_AccountRules,$L853,5))</f>
        <v/>
      </c>
      <c r="L853" s="1" t="str">
        <f t="shared" si="55"/>
        <v/>
      </c>
    </row>
    <row r="854" spans="2:12" x14ac:dyDescent="0.35">
      <c r="B854" s="12"/>
      <c r="C854" s="11"/>
      <c r="D854" s="11"/>
      <c r="E854" s="11"/>
      <c r="F854" s="1" t="str">
        <f t="shared" si="52"/>
        <v/>
      </c>
      <c r="G854" s="1" t="str">
        <f t="shared" si="53"/>
        <v/>
      </c>
      <c r="H854" s="1" t="str">
        <f t="shared" si="54"/>
        <v/>
      </c>
      <c r="I854" s="1" t="str">
        <f>IF($L854="","",INDEX(Ref_AccountRules,$L854,3))</f>
        <v/>
      </c>
      <c r="J854" s="1" t="str">
        <f>IF($L854="","",INDEX(Ref_AccountRules,$L854,4))</f>
        <v/>
      </c>
      <c r="K854" s="1" t="str">
        <f>IF($L854="","",INDEX(Ref_AccountRules,$L854,5))</f>
        <v/>
      </c>
      <c r="L854" s="1" t="str">
        <f t="shared" si="55"/>
        <v/>
      </c>
    </row>
    <row r="855" spans="2:12" x14ac:dyDescent="0.35">
      <c r="B855" s="12"/>
      <c r="C855" s="11"/>
      <c r="D855" s="11"/>
      <c r="E855" s="11"/>
      <c r="F855" s="1" t="str">
        <f t="shared" si="52"/>
        <v/>
      </c>
      <c r="G855" s="1" t="str">
        <f t="shared" si="53"/>
        <v/>
      </c>
      <c r="H855" s="1" t="str">
        <f t="shared" si="54"/>
        <v/>
      </c>
      <c r="I855" s="1" t="str">
        <f>IF($L855="","",INDEX(Ref_AccountRules,$L855,3))</f>
        <v/>
      </c>
      <c r="J855" s="1" t="str">
        <f>IF($L855="","",INDEX(Ref_AccountRules,$L855,4))</f>
        <v/>
      </c>
      <c r="K855" s="1" t="str">
        <f>IF($L855="","",INDEX(Ref_AccountRules,$L855,5))</f>
        <v/>
      </c>
      <c r="L855" s="1" t="str">
        <f t="shared" si="55"/>
        <v/>
      </c>
    </row>
    <row r="856" spans="2:12" x14ac:dyDescent="0.35">
      <c r="B856" s="12"/>
      <c r="C856" s="11"/>
      <c r="D856" s="11"/>
      <c r="E856" s="11"/>
      <c r="F856" s="1" t="str">
        <f t="shared" si="52"/>
        <v/>
      </c>
      <c r="G856" s="1" t="str">
        <f t="shared" si="53"/>
        <v/>
      </c>
      <c r="H856" s="1" t="str">
        <f t="shared" si="54"/>
        <v/>
      </c>
      <c r="I856" s="1" t="str">
        <f>IF($L856="","",INDEX(Ref_AccountRules,$L856,3))</f>
        <v/>
      </c>
      <c r="J856" s="1" t="str">
        <f>IF($L856="","",INDEX(Ref_AccountRules,$L856,4))</f>
        <v/>
      </c>
      <c r="K856" s="1" t="str">
        <f>IF($L856="","",INDEX(Ref_AccountRules,$L856,5))</f>
        <v/>
      </c>
      <c r="L856" s="1" t="str">
        <f t="shared" si="55"/>
        <v/>
      </c>
    </row>
    <row r="857" spans="2:12" x14ac:dyDescent="0.35">
      <c r="B857" s="12"/>
      <c r="C857" s="11"/>
      <c r="D857" s="11"/>
      <c r="E857" s="11"/>
      <c r="F857" s="1" t="str">
        <f t="shared" si="52"/>
        <v/>
      </c>
      <c r="G857" s="1" t="str">
        <f t="shared" si="53"/>
        <v/>
      </c>
      <c r="H857" s="1" t="str">
        <f t="shared" si="54"/>
        <v/>
      </c>
      <c r="I857" s="1" t="str">
        <f>IF($L857="","",INDEX(Ref_AccountRules,$L857,3))</f>
        <v/>
      </c>
      <c r="J857" s="1" t="str">
        <f>IF($L857="","",INDEX(Ref_AccountRules,$L857,4))</f>
        <v/>
      </c>
      <c r="K857" s="1" t="str">
        <f>IF($L857="","",INDEX(Ref_AccountRules,$L857,5))</f>
        <v/>
      </c>
      <c r="L857" s="1" t="str">
        <f t="shared" si="55"/>
        <v/>
      </c>
    </row>
    <row r="858" spans="2:12" x14ac:dyDescent="0.35">
      <c r="B858" s="12"/>
      <c r="C858" s="11"/>
      <c r="D858" s="11"/>
      <c r="E858" s="11"/>
      <c r="F858" s="1" t="str">
        <f t="shared" si="52"/>
        <v/>
      </c>
      <c r="G858" s="1" t="str">
        <f t="shared" si="53"/>
        <v/>
      </c>
      <c r="H858" s="1" t="str">
        <f t="shared" si="54"/>
        <v/>
      </c>
      <c r="I858" s="1" t="str">
        <f>IF($L858="","",INDEX(Ref_AccountRules,$L858,3))</f>
        <v/>
      </c>
      <c r="J858" s="1" t="str">
        <f>IF($L858="","",INDEX(Ref_AccountRules,$L858,4))</f>
        <v/>
      </c>
      <c r="K858" s="1" t="str">
        <f>IF($L858="","",INDEX(Ref_AccountRules,$L858,5))</f>
        <v/>
      </c>
      <c r="L858" s="1" t="str">
        <f t="shared" si="55"/>
        <v/>
      </c>
    </row>
    <row r="859" spans="2:12" x14ac:dyDescent="0.35">
      <c r="B859" s="12"/>
      <c r="C859" s="11"/>
      <c r="D859" s="11"/>
      <c r="E859" s="11"/>
      <c r="F859" s="1" t="str">
        <f t="shared" si="52"/>
        <v/>
      </c>
      <c r="G859" s="1" t="str">
        <f t="shared" si="53"/>
        <v/>
      </c>
      <c r="H859" s="1" t="str">
        <f t="shared" si="54"/>
        <v/>
      </c>
      <c r="I859" s="1" t="str">
        <f>IF($L859="","",INDEX(Ref_AccountRules,$L859,3))</f>
        <v/>
      </c>
      <c r="J859" s="1" t="str">
        <f>IF($L859="","",INDEX(Ref_AccountRules,$L859,4))</f>
        <v/>
      </c>
      <c r="K859" s="1" t="str">
        <f>IF($L859="","",INDEX(Ref_AccountRules,$L859,5))</f>
        <v/>
      </c>
      <c r="L859" s="1" t="str">
        <f t="shared" si="55"/>
        <v/>
      </c>
    </row>
    <row r="860" spans="2:12" x14ac:dyDescent="0.35">
      <c r="B860" s="12"/>
      <c r="C860" s="11"/>
      <c r="D860" s="11"/>
      <c r="E860" s="11"/>
      <c r="F860" s="1" t="str">
        <f t="shared" si="52"/>
        <v/>
      </c>
      <c r="G860" s="1" t="str">
        <f t="shared" si="53"/>
        <v/>
      </c>
      <c r="H860" s="1" t="str">
        <f t="shared" si="54"/>
        <v/>
      </c>
      <c r="I860" s="1" t="str">
        <f>IF($L860="","",INDEX(Ref_AccountRules,$L860,3))</f>
        <v/>
      </c>
      <c r="J860" s="1" t="str">
        <f>IF($L860="","",INDEX(Ref_AccountRules,$L860,4))</f>
        <v/>
      </c>
      <c r="K860" s="1" t="str">
        <f>IF($L860="","",INDEX(Ref_AccountRules,$L860,5))</f>
        <v/>
      </c>
      <c r="L860" s="1" t="str">
        <f t="shared" si="55"/>
        <v/>
      </c>
    </row>
    <row r="861" spans="2:12" x14ac:dyDescent="0.35">
      <c r="B861" s="12"/>
      <c r="C861" s="11"/>
      <c r="D861" s="11"/>
      <c r="E861" s="11"/>
      <c r="F861" s="1" t="str">
        <f t="shared" si="52"/>
        <v/>
      </c>
      <c r="G861" s="1" t="str">
        <f t="shared" si="53"/>
        <v/>
      </c>
      <c r="H861" s="1" t="str">
        <f t="shared" si="54"/>
        <v/>
      </c>
      <c r="I861" s="1" t="str">
        <f>IF($L861="","",INDEX(Ref_AccountRules,$L861,3))</f>
        <v/>
      </c>
      <c r="J861" s="1" t="str">
        <f>IF($L861="","",INDEX(Ref_AccountRules,$L861,4))</f>
        <v/>
      </c>
      <c r="K861" s="1" t="str">
        <f>IF($L861="","",INDEX(Ref_AccountRules,$L861,5))</f>
        <v/>
      </c>
      <c r="L861" s="1" t="str">
        <f t="shared" si="55"/>
        <v/>
      </c>
    </row>
    <row r="862" spans="2:12" x14ac:dyDescent="0.35">
      <c r="B862" s="12"/>
      <c r="C862" s="11"/>
      <c r="D862" s="11"/>
      <c r="E862" s="11"/>
      <c r="F862" s="1" t="str">
        <f t="shared" si="52"/>
        <v/>
      </c>
      <c r="G862" s="1" t="str">
        <f t="shared" si="53"/>
        <v/>
      </c>
      <c r="H862" s="1" t="str">
        <f t="shared" si="54"/>
        <v/>
      </c>
      <c r="I862" s="1" t="str">
        <f>IF($L862="","",INDEX(Ref_AccountRules,$L862,3))</f>
        <v/>
      </c>
      <c r="J862" s="1" t="str">
        <f>IF($L862="","",INDEX(Ref_AccountRules,$L862,4))</f>
        <v/>
      </c>
      <c r="K862" s="1" t="str">
        <f>IF($L862="","",INDEX(Ref_AccountRules,$L862,5))</f>
        <v/>
      </c>
      <c r="L862" s="1" t="str">
        <f t="shared" si="55"/>
        <v/>
      </c>
    </row>
    <row r="863" spans="2:12" x14ac:dyDescent="0.35">
      <c r="B863" s="12"/>
      <c r="C863" s="11"/>
      <c r="D863" s="11"/>
      <c r="E863" s="11"/>
      <c r="F863" s="1" t="str">
        <f t="shared" si="52"/>
        <v/>
      </c>
      <c r="G863" s="1" t="str">
        <f t="shared" si="53"/>
        <v/>
      </c>
      <c r="H863" s="1" t="str">
        <f t="shared" si="54"/>
        <v/>
      </c>
      <c r="I863" s="1" t="str">
        <f>IF($L863="","",INDEX(Ref_AccountRules,$L863,3))</f>
        <v/>
      </c>
      <c r="J863" s="1" t="str">
        <f>IF($L863="","",INDEX(Ref_AccountRules,$L863,4))</f>
        <v/>
      </c>
      <c r="K863" s="1" t="str">
        <f>IF($L863="","",INDEX(Ref_AccountRules,$L863,5))</f>
        <v/>
      </c>
      <c r="L863" s="1" t="str">
        <f t="shared" si="55"/>
        <v/>
      </c>
    </row>
    <row r="864" spans="2:12" x14ac:dyDescent="0.35">
      <c r="B864" s="12"/>
      <c r="C864" s="11"/>
      <c r="D864" s="11"/>
      <c r="E864" s="11"/>
      <c r="F864" s="1" t="str">
        <f t="shared" si="52"/>
        <v/>
      </c>
      <c r="G864" s="1" t="str">
        <f t="shared" si="53"/>
        <v/>
      </c>
      <c r="H864" s="1" t="str">
        <f t="shared" si="54"/>
        <v/>
      </c>
      <c r="I864" s="1" t="str">
        <f>IF($L864="","",INDEX(Ref_AccountRules,$L864,3))</f>
        <v/>
      </c>
      <c r="J864" s="1" t="str">
        <f>IF($L864="","",INDEX(Ref_AccountRules,$L864,4))</f>
        <v/>
      </c>
      <c r="K864" s="1" t="str">
        <f>IF($L864="","",INDEX(Ref_AccountRules,$L864,5))</f>
        <v/>
      </c>
      <c r="L864" s="1" t="str">
        <f t="shared" si="55"/>
        <v/>
      </c>
    </row>
    <row r="865" spans="2:12" x14ac:dyDescent="0.35">
      <c r="B865" s="12"/>
      <c r="C865" s="11"/>
      <c r="D865" s="11"/>
      <c r="E865" s="11"/>
      <c r="F865" s="1" t="str">
        <f t="shared" si="52"/>
        <v/>
      </c>
      <c r="G865" s="1" t="str">
        <f t="shared" si="53"/>
        <v/>
      </c>
      <c r="H865" s="1" t="str">
        <f t="shared" si="54"/>
        <v/>
      </c>
      <c r="I865" s="1" t="str">
        <f>IF($L865="","",INDEX(Ref_AccountRules,$L865,3))</f>
        <v/>
      </c>
      <c r="J865" s="1" t="str">
        <f>IF($L865="","",INDEX(Ref_AccountRules,$L865,4))</f>
        <v/>
      </c>
      <c r="K865" s="1" t="str">
        <f>IF($L865="","",INDEX(Ref_AccountRules,$L865,5))</f>
        <v/>
      </c>
      <c r="L865" s="1" t="str">
        <f t="shared" si="55"/>
        <v/>
      </c>
    </row>
    <row r="866" spans="2:12" x14ac:dyDescent="0.35">
      <c r="B866" s="12"/>
      <c r="C866" s="11"/>
      <c r="D866" s="11"/>
      <c r="E866" s="11"/>
      <c r="F866" s="1" t="str">
        <f t="shared" si="52"/>
        <v/>
      </c>
      <c r="G866" s="1" t="str">
        <f t="shared" si="53"/>
        <v/>
      </c>
      <c r="H866" s="1" t="str">
        <f t="shared" si="54"/>
        <v/>
      </c>
      <c r="I866" s="1" t="str">
        <f>IF($L866="","",INDEX(Ref_AccountRules,$L866,3))</f>
        <v/>
      </c>
      <c r="J866" s="1" t="str">
        <f>IF($L866="","",INDEX(Ref_AccountRules,$L866,4))</f>
        <v/>
      </c>
      <c r="K866" s="1" t="str">
        <f>IF($L866="","",INDEX(Ref_AccountRules,$L866,5))</f>
        <v/>
      </c>
      <c r="L866" s="1" t="str">
        <f t="shared" si="55"/>
        <v/>
      </c>
    </row>
    <row r="867" spans="2:12" x14ac:dyDescent="0.35">
      <c r="B867" s="12"/>
      <c r="C867" s="11"/>
      <c r="D867" s="11"/>
      <c r="E867" s="11"/>
      <c r="F867" s="1" t="str">
        <f t="shared" si="52"/>
        <v/>
      </c>
      <c r="G867" s="1" t="str">
        <f t="shared" si="53"/>
        <v/>
      </c>
      <c r="H867" s="1" t="str">
        <f t="shared" si="54"/>
        <v/>
      </c>
      <c r="I867" s="1" t="str">
        <f>IF($L867="","",INDEX(Ref_AccountRules,$L867,3))</f>
        <v/>
      </c>
      <c r="J867" s="1" t="str">
        <f>IF($L867="","",INDEX(Ref_AccountRules,$L867,4))</f>
        <v/>
      </c>
      <c r="K867" s="1" t="str">
        <f>IF($L867="","",INDEX(Ref_AccountRules,$L867,5))</f>
        <v/>
      </c>
      <c r="L867" s="1" t="str">
        <f t="shared" si="55"/>
        <v/>
      </c>
    </row>
    <row r="868" spans="2:12" x14ac:dyDescent="0.35">
      <c r="B868" s="12"/>
      <c r="C868" s="11"/>
      <c r="D868" s="11"/>
      <c r="E868" s="11"/>
      <c r="F868" s="1" t="str">
        <f t="shared" si="52"/>
        <v/>
      </c>
      <c r="G868" s="1" t="str">
        <f t="shared" si="53"/>
        <v/>
      </c>
      <c r="H868" s="1" t="str">
        <f t="shared" si="54"/>
        <v/>
      </c>
      <c r="I868" s="1" t="str">
        <f>IF($L868="","",INDEX(Ref_AccountRules,$L868,3))</f>
        <v/>
      </c>
      <c r="J868" s="1" t="str">
        <f>IF($L868="","",INDEX(Ref_AccountRules,$L868,4))</f>
        <v/>
      </c>
      <c r="K868" s="1" t="str">
        <f>IF($L868="","",INDEX(Ref_AccountRules,$L868,5))</f>
        <v/>
      </c>
      <c r="L868" s="1" t="str">
        <f t="shared" si="55"/>
        <v/>
      </c>
    </row>
    <row r="869" spans="2:12" x14ac:dyDescent="0.35">
      <c r="B869" s="12"/>
      <c r="C869" s="11"/>
      <c r="D869" s="11"/>
      <c r="E869" s="11"/>
      <c r="F869" s="1" t="str">
        <f t="shared" si="52"/>
        <v/>
      </c>
      <c r="G869" s="1" t="str">
        <f t="shared" si="53"/>
        <v/>
      </c>
      <c r="H869" s="1" t="str">
        <f t="shared" si="54"/>
        <v/>
      </c>
      <c r="I869" s="1" t="str">
        <f>IF($L869="","",INDEX(Ref_AccountRules,$L869,3))</f>
        <v/>
      </c>
      <c r="J869" s="1" t="str">
        <f>IF($L869="","",INDEX(Ref_AccountRules,$L869,4))</f>
        <v/>
      </c>
      <c r="K869" s="1" t="str">
        <f>IF($L869="","",INDEX(Ref_AccountRules,$L869,5))</f>
        <v/>
      </c>
      <c r="L869" s="1" t="str">
        <f t="shared" si="55"/>
        <v/>
      </c>
    </row>
    <row r="870" spans="2:12" x14ac:dyDescent="0.35">
      <c r="B870" s="12"/>
      <c r="C870" s="11"/>
      <c r="D870" s="11"/>
      <c r="E870" s="11"/>
      <c r="F870" s="1" t="str">
        <f t="shared" si="52"/>
        <v/>
      </c>
      <c r="G870" s="1" t="str">
        <f t="shared" si="53"/>
        <v/>
      </c>
      <c r="H870" s="1" t="str">
        <f t="shared" si="54"/>
        <v/>
      </c>
      <c r="I870" s="1" t="str">
        <f>IF($L870="","",INDEX(Ref_AccountRules,$L870,3))</f>
        <v/>
      </c>
      <c r="J870" s="1" t="str">
        <f>IF($L870="","",INDEX(Ref_AccountRules,$L870,4))</f>
        <v/>
      </c>
      <c r="K870" s="1" t="str">
        <f>IF($L870="","",INDEX(Ref_AccountRules,$L870,5))</f>
        <v/>
      </c>
      <c r="L870" s="1" t="str">
        <f t="shared" si="55"/>
        <v/>
      </c>
    </row>
    <row r="871" spans="2:12" x14ac:dyDescent="0.35">
      <c r="B871" s="12"/>
      <c r="C871" s="11"/>
      <c r="D871" s="11"/>
      <c r="E871" s="11"/>
      <c r="F871" s="1" t="str">
        <f t="shared" si="52"/>
        <v/>
      </c>
      <c r="G871" s="1" t="str">
        <f t="shared" si="53"/>
        <v/>
      </c>
      <c r="H871" s="1" t="str">
        <f t="shared" si="54"/>
        <v/>
      </c>
      <c r="I871" s="1" t="str">
        <f>IF($L871="","",INDEX(Ref_AccountRules,$L871,3))</f>
        <v/>
      </c>
      <c r="J871" s="1" t="str">
        <f>IF($L871="","",INDEX(Ref_AccountRules,$L871,4))</f>
        <v/>
      </c>
      <c r="K871" s="1" t="str">
        <f>IF($L871="","",INDEX(Ref_AccountRules,$L871,5))</f>
        <v/>
      </c>
      <c r="L871" s="1" t="str">
        <f t="shared" si="55"/>
        <v/>
      </c>
    </row>
    <row r="872" spans="2:12" x14ac:dyDescent="0.35">
      <c r="B872" s="12"/>
      <c r="C872" s="11"/>
      <c r="D872" s="11"/>
      <c r="E872" s="11"/>
      <c r="F872" s="1" t="str">
        <f t="shared" si="52"/>
        <v/>
      </c>
      <c r="G872" s="1" t="str">
        <f t="shared" si="53"/>
        <v/>
      </c>
      <c r="H872" s="1" t="str">
        <f t="shared" si="54"/>
        <v/>
      </c>
      <c r="I872" s="1" t="str">
        <f>IF($L872="","",INDEX(Ref_AccountRules,$L872,3))</f>
        <v/>
      </c>
      <c r="J872" s="1" t="str">
        <f>IF($L872="","",INDEX(Ref_AccountRules,$L872,4))</f>
        <v/>
      </c>
      <c r="K872" s="1" t="str">
        <f>IF($L872="","",INDEX(Ref_AccountRules,$L872,5))</f>
        <v/>
      </c>
      <c r="L872" s="1" t="str">
        <f t="shared" si="55"/>
        <v/>
      </c>
    </row>
    <row r="873" spans="2:12" x14ac:dyDescent="0.35">
      <c r="B873" s="12"/>
      <c r="C873" s="11"/>
      <c r="D873" s="11"/>
      <c r="E873" s="11"/>
      <c r="F873" s="1" t="str">
        <f t="shared" si="52"/>
        <v/>
      </c>
      <c r="G873" s="1" t="str">
        <f t="shared" si="53"/>
        <v/>
      </c>
      <c r="H873" s="1" t="str">
        <f t="shared" si="54"/>
        <v/>
      </c>
      <c r="I873" s="1" t="str">
        <f>IF($L873="","",INDEX(Ref_AccountRules,$L873,3))</f>
        <v/>
      </c>
      <c r="J873" s="1" t="str">
        <f>IF($L873="","",INDEX(Ref_AccountRules,$L873,4))</f>
        <v/>
      </c>
      <c r="K873" s="1" t="str">
        <f>IF($L873="","",INDEX(Ref_AccountRules,$L873,5))</f>
        <v/>
      </c>
      <c r="L873" s="1" t="str">
        <f t="shared" si="55"/>
        <v/>
      </c>
    </row>
    <row r="874" spans="2:12" x14ac:dyDescent="0.35">
      <c r="B874" s="12"/>
      <c r="C874" s="11"/>
      <c r="D874" s="11"/>
      <c r="E874" s="11"/>
      <c r="F874" s="1" t="str">
        <f t="shared" si="52"/>
        <v/>
      </c>
      <c r="G874" s="1" t="str">
        <f t="shared" si="53"/>
        <v/>
      </c>
      <c r="H874" s="1" t="str">
        <f t="shared" si="54"/>
        <v/>
      </c>
      <c r="I874" s="1" t="str">
        <f>IF($L874="","",INDEX(Ref_AccountRules,$L874,3))</f>
        <v/>
      </c>
      <c r="J874" s="1" t="str">
        <f>IF($L874="","",INDEX(Ref_AccountRules,$L874,4))</f>
        <v/>
      </c>
      <c r="K874" s="1" t="str">
        <f>IF($L874="","",INDEX(Ref_AccountRules,$L874,5))</f>
        <v/>
      </c>
      <c r="L874" s="1" t="str">
        <f t="shared" si="55"/>
        <v/>
      </c>
    </row>
    <row r="875" spans="2:12" x14ac:dyDescent="0.35">
      <c r="B875" s="12"/>
      <c r="C875" s="11"/>
      <c r="D875" s="11"/>
      <c r="E875" s="11"/>
      <c r="F875" s="1" t="str">
        <f t="shared" si="52"/>
        <v/>
      </c>
      <c r="G875" s="1" t="str">
        <f t="shared" si="53"/>
        <v/>
      </c>
      <c r="H875" s="1" t="str">
        <f t="shared" si="54"/>
        <v/>
      </c>
      <c r="I875" s="1" t="str">
        <f>IF($L875="","",INDEX(Ref_AccountRules,$L875,3))</f>
        <v/>
      </c>
      <c r="J875" s="1" t="str">
        <f>IF($L875="","",INDEX(Ref_AccountRules,$L875,4))</f>
        <v/>
      </c>
      <c r="K875" s="1" t="str">
        <f>IF($L875="","",INDEX(Ref_AccountRules,$L875,5))</f>
        <v/>
      </c>
      <c r="L875" s="1" t="str">
        <f t="shared" si="55"/>
        <v/>
      </c>
    </row>
    <row r="876" spans="2:12" x14ac:dyDescent="0.35">
      <c r="B876" s="12"/>
      <c r="C876" s="11"/>
      <c r="D876" s="11"/>
      <c r="E876" s="11"/>
      <c r="F876" s="1" t="str">
        <f t="shared" si="52"/>
        <v/>
      </c>
      <c r="G876" s="1" t="str">
        <f t="shared" si="53"/>
        <v/>
      </c>
      <c r="H876" s="1" t="str">
        <f t="shared" si="54"/>
        <v/>
      </c>
      <c r="I876" s="1" t="str">
        <f>IF($L876="","",INDEX(Ref_AccountRules,$L876,3))</f>
        <v/>
      </c>
      <c r="J876" s="1" t="str">
        <f>IF($L876="","",INDEX(Ref_AccountRules,$L876,4))</f>
        <v/>
      </c>
      <c r="K876" s="1" t="str">
        <f>IF($L876="","",INDEX(Ref_AccountRules,$L876,5))</f>
        <v/>
      </c>
      <c r="L876" s="1" t="str">
        <f t="shared" si="55"/>
        <v/>
      </c>
    </row>
    <row r="877" spans="2:12" x14ac:dyDescent="0.35">
      <c r="B877" s="12"/>
      <c r="C877" s="11"/>
      <c r="D877" s="11"/>
      <c r="E877" s="11"/>
      <c r="F877" s="1" t="str">
        <f t="shared" si="52"/>
        <v/>
      </c>
      <c r="G877" s="1" t="str">
        <f t="shared" si="53"/>
        <v/>
      </c>
      <c r="H877" s="1" t="str">
        <f t="shared" si="54"/>
        <v/>
      </c>
      <c r="I877" s="1" t="str">
        <f>IF($L877="","",INDEX(Ref_AccountRules,$L877,3))</f>
        <v/>
      </c>
      <c r="J877" s="1" t="str">
        <f>IF($L877="","",INDEX(Ref_AccountRules,$L877,4))</f>
        <v/>
      </c>
      <c r="K877" s="1" t="str">
        <f>IF($L877="","",INDEX(Ref_AccountRules,$L877,5))</f>
        <v/>
      </c>
      <c r="L877" s="1" t="str">
        <f t="shared" si="55"/>
        <v/>
      </c>
    </row>
    <row r="878" spans="2:12" x14ac:dyDescent="0.35">
      <c r="B878" s="12"/>
      <c r="C878" s="11"/>
      <c r="D878" s="11"/>
      <c r="E878" s="11"/>
      <c r="F878" s="1" t="str">
        <f t="shared" si="52"/>
        <v/>
      </c>
      <c r="G878" s="1" t="str">
        <f t="shared" si="53"/>
        <v/>
      </c>
      <c r="H878" s="1" t="str">
        <f t="shared" si="54"/>
        <v/>
      </c>
      <c r="I878" s="1" t="str">
        <f>IF($L878="","",INDEX(Ref_AccountRules,$L878,3))</f>
        <v/>
      </c>
      <c r="J878" s="1" t="str">
        <f>IF($L878="","",INDEX(Ref_AccountRules,$L878,4))</f>
        <v/>
      </c>
      <c r="K878" s="1" t="str">
        <f>IF($L878="","",INDEX(Ref_AccountRules,$L878,5))</f>
        <v/>
      </c>
      <c r="L878" s="1" t="str">
        <f t="shared" si="55"/>
        <v/>
      </c>
    </row>
    <row r="879" spans="2:12" x14ac:dyDescent="0.35">
      <c r="B879" s="12"/>
      <c r="C879" s="11"/>
      <c r="D879" s="11"/>
      <c r="E879" s="11"/>
      <c r="F879" s="1" t="str">
        <f t="shared" si="52"/>
        <v/>
      </c>
      <c r="G879" s="1" t="str">
        <f t="shared" si="53"/>
        <v/>
      </c>
      <c r="H879" s="1" t="str">
        <f t="shared" si="54"/>
        <v/>
      </c>
      <c r="I879" s="1" t="str">
        <f>IF($L879="","",INDEX(Ref_AccountRules,$L879,3))</f>
        <v/>
      </c>
      <c r="J879" s="1" t="str">
        <f>IF($L879="","",INDEX(Ref_AccountRules,$L879,4))</f>
        <v/>
      </c>
      <c r="K879" s="1" t="str">
        <f>IF($L879="","",INDEX(Ref_AccountRules,$L879,5))</f>
        <v/>
      </c>
      <c r="L879" s="1" t="str">
        <f t="shared" si="55"/>
        <v/>
      </c>
    </row>
    <row r="880" spans="2:12" x14ac:dyDescent="0.35">
      <c r="B880" s="12"/>
      <c r="C880" s="11"/>
      <c r="D880" s="11"/>
      <c r="E880" s="11"/>
      <c r="F880" s="1" t="str">
        <f t="shared" si="52"/>
        <v/>
      </c>
      <c r="G880" s="1" t="str">
        <f t="shared" si="53"/>
        <v/>
      </c>
      <c r="H880" s="1" t="str">
        <f t="shared" si="54"/>
        <v/>
      </c>
      <c r="I880" s="1" t="str">
        <f>IF($L880="","",INDEX(Ref_AccountRules,$L880,3))</f>
        <v/>
      </c>
      <c r="J880" s="1" t="str">
        <f>IF($L880="","",INDEX(Ref_AccountRules,$L880,4))</f>
        <v/>
      </c>
      <c r="K880" s="1" t="str">
        <f>IF($L880="","",INDEX(Ref_AccountRules,$L880,5))</f>
        <v/>
      </c>
      <c r="L880" s="1" t="str">
        <f t="shared" si="55"/>
        <v/>
      </c>
    </row>
    <row r="881" spans="2:12" x14ac:dyDescent="0.35">
      <c r="B881" s="12"/>
      <c r="C881" s="11"/>
      <c r="D881" s="11"/>
      <c r="E881" s="11"/>
      <c r="F881" s="1" t="str">
        <f t="shared" si="52"/>
        <v/>
      </c>
      <c r="G881" s="1" t="str">
        <f t="shared" si="53"/>
        <v/>
      </c>
      <c r="H881" s="1" t="str">
        <f t="shared" si="54"/>
        <v/>
      </c>
      <c r="I881" s="1" t="str">
        <f>IF($L881="","",INDEX(Ref_AccountRules,$L881,3))</f>
        <v/>
      </c>
      <c r="J881" s="1" t="str">
        <f>IF($L881="","",INDEX(Ref_AccountRules,$L881,4))</f>
        <v/>
      </c>
      <c r="K881" s="1" t="str">
        <f>IF($L881="","",INDEX(Ref_AccountRules,$L881,5))</f>
        <v/>
      </c>
      <c r="L881" s="1" t="str">
        <f t="shared" si="55"/>
        <v/>
      </c>
    </row>
    <row r="882" spans="2:12" x14ac:dyDescent="0.35">
      <c r="B882" s="12"/>
      <c r="C882" s="11"/>
      <c r="D882" s="11"/>
      <c r="E882" s="11"/>
      <c r="F882" s="1" t="str">
        <f t="shared" si="52"/>
        <v/>
      </c>
      <c r="G882" s="1" t="str">
        <f t="shared" si="53"/>
        <v/>
      </c>
      <c r="H882" s="1" t="str">
        <f t="shared" si="54"/>
        <v/>
      </c>
      <c r="I882" s="1" t="str">
        <f>IF($L882="","",INDEX(Ref_AccountRules,$L882,3))</f>
        <v/>
      </c>
      <c r="J882" s="1" t="str">
        <f>IF($L882="","",INDEX(Ref_AccountRules,$L882,4))</f>
        <v/>
      </c>
      <c r="K882" s="1" t="str">
        <f>IF($L882="","",INDEX(Ref_AccountRules,$L882,5))</f>
        <v/>
      </c>
      <c r="L882" s="1" t="str">
        <f t="shared" si="55"/>
        <v/>
      </c>
    </row>
    <row r="883" spans="2:12" x14ac:dyDescent="0.35">
      <c r="B883" s="12"/>
      <c r="C883" s="11"/>
      <c r="D883" s="11"/>
      <c r="E883" s="11"/>
      <c r="F883" s="1" t="str">
        <f t="shared" si="52"/>
        <v/>
      </c>
      <c r="G883" s="1" t="str">
        <f t="shared" si="53"/>
        <v/>
      </c>
      <c r="H883" s="1" t="str">
        <f t="shared" si="54"/>
        <v/>
      </c>
      <c r="I883" s="1" t="str">
        <f>IF($L883="","",INDEX(Ref_AccountRules,$L883,3))</f>
        <v/>
      </c>
      <c r="J883" s="1" t="str">
        <f>IF($L883="","",INDEX(Ref_AccountRules,$L883,4))</f>
        <v/>
      </c>
      <c r="K883" s="1" t="str">
        <f>IF($L883="","",INDEX(Ref_AccountRules,$L883,5))</f>
        <v/>
      </c>
      <c r="L883" s="1" t="str">
        <f t="shared" si="55"/>
        <v/>
      </c>
    </row>
    <row r="884" spans="2:12" x14ac:dyDescent="0.35">
      <c r="B884" s="12"/>
      <c r="C884" s="11"/>
      <c r="D884" s="11"/>
      <c r="E884" s="11"/>
      <c r="F884" s="1" t="str">
        <f t="shared" si="52"/>
        <v/>
      </c>
      <c r="G884" s="1" t="str">
        <f t="shared" si="53"/>
        <v/>
      </c>
      <c r="H884" s="1" t="str">
        <f t="shared" si="54"/>
        <v/>
      </c>
      <c r="I884" s="1" t="str">
        <f>IF($L884="","",INDEX(Ref_AccountRules,$L884,3))</f>
        <v/>
      </c>
      <c r="J884" s="1" t="str">
        <f>IF($L884="","",INDEX(Ref_AccountRules,$L884,4))</f>
        <v/>
      </c>
      <c r="K884" s="1" t="str">
        <f>IF($L884="","",INDEX(Ref_AccountRules,$L884,5))</f>
        <v/>
      </c>
      <c r="L884" s="1" t="str">
        <f t="shared" si="55"/>
        <v/>
      </c>
    </row>
    <row r="885" spans="2:12" x14ac:dyDescent="0.35">
      <c r="B885" s="12"/>
      <c r="C885" s="11"/>
      <c r="D885" s="11"/>
      <c r="E885" s="11"/>
      <c r="F885" s="1" t="str">
        <f t="shared" si="52"/>
        <v/>
      </c>
      <c r="G885" s="1" t="str">
        <f t="shared" si="53"/>
        <v/>
      </c>
      <c r="H885" s="1" t="str">
        <f t="shared" si="54"/>
        <v/>
      </c>
      <c r="I885" s="1" t="str">
        <f>IF($L885="","",INDEX(Ref_AccountRules,$L885,3))</f>
        <v/>
      </c>
      <c r="J885" s="1" t="str">
        <f>IF($L885="","",INDEX(Ref_AccountRules,$L885,4))</f>
        <v/>
      </c>
      <c r="K885" s="1" t="str">
        <f>IF($L885="","",INDEX(Ref_AccountRules,$L885,5))</f>
        <v/>
      </c>
      <c r="L885" s="1" t="str">
        <f t="shared" si="55"/>
        <v/>
      </c>
    </row>
    <row r="886" spans="2:12" x14ac:dyDescent="0.35">
      <c r="B886" s="12"/>
      <c r="C886" s="11"/>
      <c r="D886" s="11"/>
      <c r="E886" s="11"/>
      <c r="F886" s="1" t="str">
        <f t="shared" si="52"/>
        <v/>
      </c>
      <c r="G886" s="1" t="str">
        <f t="shared" si="53"/>
        <v/>
      </c>
      <c r="H886" s="1" t="str">
        <f t="shared" si="54"/>
        <v/>
      </c>
      <c r="I886" s="1" t="str">
        <f>IF($L886="","",INDEX(Ref_AccountRules,$L886,3))</f>
        <v/>
      </c>
      <c r="J886" s="1" t="str">
        <f>IF($L886="","",INDEX(Ref_AccountRules,$L886,4))</f>
        <v/>
      </c>
      <c r="K886" s="1" t="str">
        <f>IF($L886="","",INDEX(Ref_AccountRules,$L886,5))</f>
        <v/>
      </c>
      <c r="L886" s="1" t="str">
        <f t="shared" si="55"/>
        <v/>
      </c>
    </row>
    <row r="887" spans="2:12" x14ac:dyDescent="0.35">
      <c r="B887" s="12"/>
      <c r="C887" s="11"/>
      <c r="D887" s="11"/>
      <c r="E887" s="11"/>
      <c r="F887" s="1" t="str">
        <f t="shared" si="52"/>
        <v/>
      </c>
      <c r="G887" s="1" t="str">
        <f t="shared" si="53"/>
        <v/>
      </c>
      <c r="H887" s="1" t="str">
        <f t="shared" si="54"/>
        <v/>
      </c>
      <c r="I887" s="1" t="str">
        <f>IF($L887="","",INDEX(Ref_AccountRules,$L887,3))</f>
        <v/>
      </c>
      <c r="J887" s="1" t="str">
        <f>IF($L887="","",INDEX(Ref_AccountRules,$L887,4))</f>
        <v/>
      </c>
      <c r="K887" s="1" t="str">
        <f>IF($L887="","",INDEX(Ref_AccountRules,$L887,5))</f>
        <v/>
      </c>
      <c r="L887" s="1" t="str">
        <f t="shared" si="55"/>
        <v/>
      </c>
    </row>
    <row r="888" spans="2:12" x14ac:dyDescent="0.35">
      <c r="B888" s="12"/>
      <c r="C888" s="11"/>
      <c r="D888" s="11"/>
      <c r="E888" s="11"/>
      <c r="F888" s="1" t="str">
        <f t="shared" si="52"/>
        <v/>
      </c>
      <c r="G888" s="1" t="str">
        <f t="shared" si="53"/>
        <v/>
      </c>
      <c r="H888" s="1" t="str">
        <f t="shared" si="54"/>
        <v/>
      </c>
      <c r="I888" s="1" t="str">
        <f>IF($L888="","",INDEX(Ref_AccountRules,$L888,3))</f>
        <v/>
      </c>
      <c r="J888" s="1" t="str">
        <f>IF($L888="","",INDEX(Ref_AccountRules,$L888,4))</f>
        <v/>
      </c>
      <c r="K888" s="1" t="str">
        <f>IF($L888="","",INDEX(Ref_AccountRules,$L888,5))</f>
        <v/>
      </c>
      <c r="L888" s="1" t="str">
        <f t="shared" si="55"/>
        <v/>
      </c>
    </row>
    <row r="889" spans="2:12" x14ac:dyDescent="0.35">
      <c r="B889" s="12"/>
      <c r="C889" s="11"/>
      <c r="D889" s="11"/>
      <c r="E889" s="11"/>
      <c r="F889" s="1" t="str">
        <f t="shared" si="52"/>
        <v/>
      </c>
      <c r="G889" s="1" t="str">
        <f t="shared" si="53"/>
        <v/>
      </c>
      <c r="H889" s="1" t="str">
        <f t="shared" si="54"/>
        <v/>
      </c>
      <c r="I889" s="1" t="str">
        <f>IF($L889="","",INDEX(Ref_AccountRules,$L889,3))</f>
        <v/>
      </c>
      <c r="J889" s="1" t="str">
        <f>IF($L889="","",INDEX(Ref_AccountRules,$L889,4))</f>
        <v/>
      </c>
      <c r="K889" s="1" t="str">
        <f>IF($L889="","",INDEX(Ref_AccountRules,$L889,5))</f>
        <v/>
      </c>
      <c r="L889" s="1" t="str">
        <f t="shared" si="55"/>
        <v/>
      </c>
    </row>
    <row r="890" spans="2:12" x14ac:dyDescent="0.35">
      <c r="B890" s="12"/>
      <c r="C890" s="11"/>
      <c r="D890" s="11"/>
      <c r="E890" s="11"/>
      <c r="F890" s="1" t="str">
        <f t="shared" si="52"/>
        <v/>
      </c>
      <c r="G890" s="1" t="str">
        <f t="shared" si="53"/>
        <v/>
      </c>
      <c r="H890" s="1" t="str">
        <f t="shared" si="54"/>
        <v/>
      </c>
      <c r="I890" s="1" t="str">
        <f>IF($L890="","",INDEX(Ref_AccountRules,$L890,3))</f>
        <v/>
      </c>
      <c r="J890" s="1" t="str">
        <f>IF($L890="","",INDEX(Ref_AccountRules,$L890,4))</f>
        <v/>
      </c>
      <c r="K890" s="1" t="str">
        <f>IF($L890="","",INDEX(Ref_AccountRules,$L890,5))</f>
        <v/>
      </c>
      <c r="L890" s="1" t="str">
        <f t="shared" si="55"/>
        <v/>
      </c>
    </row>
    <row r="891" spans="2:12" x14ac:dyDescent="0.35">
      <c r="B891" s="12"/>
      <c r="C891" s="11"/>
      <c r="D891" s="11"/>
      <c r="E891" s="11"/>
      <c r="F891" s="1" t="str">
        <f t="shared" si="52"/>
        <v/>
      </c>
      <c r="G891" s="1" t="str">
        <f t="shared" si="53"/>
        <v/>
      </c>
      <c r="H891" s="1" t="str">
        <f t="shared" si="54"/>
        <v/>
      </c>
      <c r="I891" s="1" t="str">
        <f>IF($L891="","",INDEX(Ref_AccountRules,$L891,3))</f>
        <v/>
      </c>
      <c r="J891" s="1" t="str">
        <f>IF($L891="","",INDEX(Ref_AccountRules,$L891,4))</f>
        <v/>
      </c>
      <c r="K891" s="1" t="str">
        <f>IF($L891="","",INDEX(Ref_AccountRules,$L891,5))</f>
        <v/>
      </c>
      <c r="L891" s="1" t="str">
        <f t="shared" si="55"/>
        <v/>
      </c>
    </row>
    <row r="892" spans="2:12" x14ac:dyDescent="0.35">
      <c r="B892" s="12"/>
      <c r="C892" s="11"/>
      <c r="D892" s="11"/>
      <c r="E892" s="11"/>
      <c r="F892" s="1" t="str">
        <f t="shared" si="52"/>
        <v/>
      </c>
      <c r="G892" s="1" t="str">
        <f t="shared" si="53"/>
        <v/>
      </c>
      <c r="H892" s="1" t="str">
        <f t="shared" si="54"/>
        <v/>
      </c>
      <c r="I892" s="1" t="str">
        <f>IF($L892="","",INDEX(Ref_AccountRules,$L892,3))</f>
        <v/>
      </c>
      <c r="J892" s="1" t="str">
        <f>IF($L892="","",INDEX(Ref_AccountRules,$L892,4))</f>
        <v/>
      </c>
      <c r="K892" s="1" t="str">
        <f>IF($L892="","",INDEX(Ref_AccountRules,$L892,5))</f>
        <v/>
      </c>
      <c r="L892" s="1" t="str">
        <f t="shared" si="55"/>
        <v/>
      </c>
    </row>
    <row r="893" spans="2:12" x14ac:dyDescent="0.35">
      <c r="B893" s="12"/>
      <c r="C893" s="11"/>
      <c r="D893" s="11"/>
      <c r="E893" s="11"/>
      <c r="F893" s="1" t="str">
        <f t="shared" si="52"/>
        <v/>
      </c>
      <c r="G893" s="1" t="str">
        <f t="shared" si="53"/>
        <v/>
      </c>
      <c r="H893" s="1" t="str">
        <f t="shared" si="54"/>
        <v/>
      </c>
      <c r="I893" s="1" t="str">
        <f>IF($L893="","",INDEX(Ref_AccountRules,$L893,3))</f>
        <v/>
      </c>
      <c r="J893" s="1" t="str">
        <f>IF($L893="","",INDEX(Ref_AccountRules,$L893,4))</f>
        <v/>
      </c>
      <c r="K893" s="1" t="str">
        <f>IF($L893="","",INDEX(Ref_AccountRules,$L893,5))</f>
        <v/>
      </c>
      <c r="L893" s="1" t="str">
        <f t="shared" si="55"/>
        <v/>
      </c>
    </row>
    <row r="894" spans="2:12" x14ac:dyDescent="0.35">
      <c r="B894" s="12"/>
      <c r="C894" s="11"/>
      <c r="D894" s="11"/>
      <c r="E894" s="11"/>
      <c r="F894" s="1" t="str">
        <f t="shared" si="52"/>
        <v/>
      </c>
      <c r="G894" s="1" t="str">
        <f t="shared" si="53"/>
        <v/>
      </c>
      <c r="H894" s="1" t="str">
        <f t="shared" si="54"/>
        <v/>
      </c>
      <c r="I894" s="1" t="str">
        <f>IF($L894="","",INDEX(Ref_AccountRules,$L894,3))</f>
        <v/>
      </c>
      <c r="J894" s="1" t="str">
        <f>IF($L894="","",INDEX(Ref_AccountRules,$L894,4))</f>
        <v/>
      </c>
      <c r="K894" s="1" t="str">
        <f>IF($L894="","",INDEX(Ref_AccountRules,$L894,5))</f>
        <v/>
      </c>
      <c r="L894" s="1" t="str">
        <f t="shared" si="55"/>
        <v/>
      </c>
    </row>
    <row r="895" spans="2:12" x14ac:dyDescent="0.35">
      <c r="B895" s="12"/>
      <c r="C895" s="11"/>
      <c r="D895" s="11"/>
      <c r="E895" s="11"/>
      <c r="F895" s="1" t="str">
        <f t="shared" si="52"/>
        <v/>
      </c>
      <c r="G895" s="1" t="str">
        <f t="shared" si="53"/>
        <v/>
      </c>
      <c r="H895" s="1" t="str">
        <f t="shared" si="54"/>
        <v/>
      </c>
      <c r="I895" s="1" t="str">
        <f>IF($L895="","",INDEX(Ref_AccountRules,$L895,3))</f>
        <v/>
      </c>
      <c r="J895" s="1" t="str">
        <f>IF($L895="","",INDEX(Ref_AccountRules,$L895,4))</f>
        <v/>
      </c>
      <c r="K895" s="1" t="str">
        <f>IF($L895="","",INDEX(Ref_AccountRules,$L895,5))</f>
        <v/>
      </c>
      <c r="L895" s="1" t="str">
        <f t="shared" si="55"/>
        <v/>
      </c>
    </row>
    <row r="896" spans="2:12" x14ac:dyDescent="0.35">
      <c r="B896" s="12"/>
      <c r="C896" s="11"/>
      <c r="D896" s="11"/>
      <c r="E896" s="11"/>
      <c r="F896" s="1" t="str">
        <f t="shared" si="52"/>
        <v/>
      </c>
      <c r="G896" s="1" t="str">
        <f t="shared" si="53"/>
        <v/>
      </c>
      <c r="H896" s="1" t="str">
        <f t="shared" si="54"/>
        <v/>
      </c>
      <c r="I896" s="1" t="str">
        <f>IF($L896="","",INDEX(Ref_AccountRules,$L896,3))</f>
        <v/>
      </c>
      <c r="J896" s="1" t="str">
        <f>IF($L896="","",INDEX(Ref_AccountRules,$L896,4))</f>
        <v/>
      </c>
      <c r="K896" s="1" t="str">
        <f>IF($L896="","",INDEX(Ref_AccountRules,$L896,5))</f>
        <v/>
      </c>
      <c r="L896" s="1" t="str">
        <f t="shared" si="55"/>
        <v/>
      </c>
    </row>
    <row r="897" spans="2:12" x14ac:dyDescent="0.35">
      <c r="B897" s="12"/>
      <c r="C897" s="11"/>
      <c r="D897" s="11"/>
      <c r="E897" s="11"/>
      <c r="F897" s="1" t="str">
        <f t="shared" si="52"/>
        <v/>
      </c>
      <c r="G897" s="1" t="str">
        <f t="shared" si="53"/>
        <v/>
      </c>
      <c r="H897" s="1" t="str">
        <f t="shared" si="54"/>
        <v/>
      </c>
      <c r="I897" s="1" t="str">
        <f>IF($L897="","",INDEX(Ref_AccountRules,$L897,3))</f>
        <v/>
      </c>
      <c r="J897" s="1" t="str">
        <f>IF($L897="","",INDEX(Ref_AccountRules,$L897,4))</f>
        <v/>
      </c>
      <c r="K897" s="1" t="str">
        <f>IF($L897="","",INDEX(Ref_AccountRules,$L897,5))</f>
        <v/>
      </c>
      <c r="L897" s="1" t="str">
        <f t="shared" si="55"/>
        <v/>
      </c>
    </row>
    <row r="898" spans="2:12" x14ac:dyDescent="0.35">
      <c r="B898" s="12"/>
      <c r="C898" s="11"/>
      <c r="D898" s="11"/>
      <c r="E898" s="11"/>
      <c r="F898" s="1" t="str">
        <f t="shared" si="52"/>
        <v/>
      </c>
      <c r="G898" s="1" t="str">
        <f t="shared" si="53"/>
        <v/>
      </c>
      <c r="H898" s="1" t="str">
        <f t="shared" si="54"/>
        <v/>
      </c>
      <c r="I898" s="1" t="str">
        <f>IF($L898="","",INDEX(Ref_AccountRules,$L898,3))</f>
        <v/>
      </c>
      <c r="J898" s="1" t="str">
        <f>IF($L898="","",INDEX(Ref_AccountRules,$L898,4))</f>
        <v/>
      </c>
      <c r="K898" s="1" t="str">
        <f>IF($L898="","",INDEX(Ref_AccountRules,$L898,5))</f>
        <v/>
      </c>
      <c r="L898" s="1" t="str">
        <f t="shared" si="55"/>
        <v/>
      </c>
    </row>
    <row r="899" spans="2:12" x14ac:dyDescent="0.35">
      <c r="B899" s="12"/>
      <c r="C899" s="11"/>
      <c r="D899" s="11"/>
      <c r="E899" s="11"/>
      <c r="F899" s="1" t="str">
        <f t="shared" si="52"/>
        <v/>
      </c>
      <c r="G899" s="1" t="str">
        <f t="shared" si="53"/>
        <v/>
      </c>
      <c r="H899" s="1" t="str">
        <f t="shared" si="54"/>
        <v/>
      </c>
      <c r="I899" s="1" t="str">
        <f>IF($L899="","",INDEX(Ref_AccountRules,$L899,3))</f>
        <v/>
      </c>
      <c r="J899" s="1" t="str">
        <f>IF($L899="","",INDEX(Ref_AccountRules,$L899,4))</f>
        <v/>
      </c>
      <c r="K899" s="1" t="str">
        <f>IF($L899="","",INDEX(Ref_AccountRules,$L899,5))</f>
        <v/>
      </c>
      <c r="L899" s="1" t="str">
        <f t="shared" si="55"/>
        <v/>
      </c>
    </row>
    <row r="900" spans="2:12" x14ac:dyDescent="0.35">
      <c r="B900" s="12"/>
      <c r="C900" s="11"/>
      <c r="D900" s="11"/>
      <c r="E900" s="11"/>
      <c r="F900" s="1" t="str">
        <f t="shared" si="52"/>
        <v/>
      </c>
      <c r="G900" s="1" t="str">
        <f t="shared" si="53"/>
        <v/>
      </c>
      <c r="H900" s="1" t="str">
        <f t="shared" si="54"/>
        <v/>
      </c>
      <c r="I900" s="1" t="str">
        <f>IF($L900="","",INDEX(Ref_AccountRules,$L900,3))</f>
        <v/>
      </c>
      <c r="J900" s="1" t="str">
        <f>IF($L900="","",INDEX(Ref_AccountRules,$L900,4))</f>
        <v/>
      </c>
      <c r="K900" s="1" t="str">
        <f>IF($L900="","",INDEX(Ref_AccountRules,$L900,5))</f>
        <v/>
      </c>
      <c r="L900" s="1" t="str">
        <f t="shared" si="55"/>
        <v/>
      </c>
    </row>
    <row r="901" spans="2:12" x14ac:dyDescent="0.35">
      <c r="B901" s="12"/>
      <c r="C901" s="11"/>
      <c r="D901" s="11"/>
      <c r="E901" s="11"/>
      <c r="F901" s="1" t="str">
        <f t="shared" si="52"/>
        <v/>
      </c>
      <c r="G901" s="1" t="str">
        <f t="shared" si="53"/>
        <v/>
      </c>
      <c r="H901" s="1" t="str">
        <f t="shared" si="54"/>
        <v/>
      </c>
      <c r="I901" s="1" t="str">
        <f>IF($L901="","",INDEX(Ref_AccountRules,$L901,3))</f>
        <v/>
      </c>
      <c r="J901" s="1" t="str">
        <f>IF($L901="","",INDEX(Ref_AccountRules,$L901,4))</f>
        <v/>
      </c>
      <c r="K901" s="1" t="str">
        <f>IF($L901="","",INDEX(Ref_AccountRules,$L901,5))</f>
        <v/>
      </c>
      <c r="L901" s="1" t="str">
        <f t="shared" si="55"/>
        <v/>
      </c>
    </row>
    <row r="902" spans="2:12" x14ac:dyDescent="0.35">
      <c r="B902" s="12"/>
      <c r="C902" s="11"/>
      <c r="D902" s="11"/>
      <c r="E902" s="11"/>
      <c r="F902" s="1" t="str">
        <f t="shared" si="52"/>
        <v/>
      </c>
      <c r="G902" s="1" t="str">
        <f t="shared" si="53"/>
        <v/>
      </c>
      <c r="H902" s="1" t="str">
        <f t="shared" si="54"/>
        <v/>
      </c>
      <c r="I902" s="1" t="str">
        <f>IF($L902="","",INDEX(Ref_AccountRules,$L902,3))</f>
        <v/>
      </c>
      <c r="J902" s="1" t="str">
        <f>IF($L902="","",INDEX(Ref_AccountRules,$L902,4))</f>
        <v/>
      </c>
      <c r="K902" s="1" t="str">
        <f>IF($L902="","",INDEX(Ref_AccountRules,$L902,5))</f>
        <v/>
      </c>
      <c r="L902" s="1" t="str">
        <f t="shared" si="55"/>
        <v/>
      </c>
    </row>
    <row r="903" spans="2:12" x14ac:dyDescent="0.35">
      <c r="B903" s="12"/>
      <c r="C903" s="11"/>
      <c r="D903" s="11"/>
      <c r="E903" s="11"/>
      <c r="F903" s="1" t="str">
        <f t="shared" si="52"/>
        <v/>
      </c>
      <c r="G903" s="1" t="str">
        <f t="shared" si="53"/>
        <v/>
      </c>
      <c r="H903" s="1" t="str">
        <f t="shared" si="54"/>
        <v/>
      </c>
      <c r="I903" s="1" t="str">
        <f>IF($L903="","",INDEX(Ref_AccountRules,$L903,3))</f>
        <v/>
      </c>
      <c r="J903" s="1" t="str">
        <f>IF($L903="","",INDEX(Ref_AccountRules,$L903,4))</f>
        <v/>
      </c>
      <c r="K903" s="1" t="str">
        <f>IF($L903="","",INDEX(Ref_AccountRules,$L903,5))</f>
        <v/>
      </c>
      <c r="L903" s="1" t="str">
        <f t="shared" si="55"/>
        <v/>
      </c>
    </row>
    <row r="904" spans="2:12" x14ac:dyDescent="0.35">
      <c r="B904" s="12"/>
      <c r="C904" s="11"/>
      <c r="D904" s="11"/>
      <c r="E904" s="11"/>
      <c r="F904" s="1" t="str">
        <f t="shared" si="52"/>
        <v/>
      </c>
      <c r="G904" s="1" t="str">
        <f t="shared" si="53"/>
        <v/>
      </c>
      <c r="H904" s="1" t="str">
        <f t="shared" si="54"/>
        <v/>
      </c>
      <c r="I904" s="1" t="str">
        <f>IF($L904="","",INDEX(Ref_AccountRules,$L904,3))</f>
        <v/>
      </c>
      <c r="J904" s="1" t="str">
        <f>IF($L904="","",INDEX(Ref_AccountRules,$L904,4))</f>
        <v/>
      </c>
      <c r="K904" s="1" t="str">
        <f>IF($L904="","",INDEX(Ref_AccountRules,$L904,5))</f>
        <v/>
      </c>
      <c r="L904" s="1" t="str">
        <f t="shared" si="55"/>
        <v/>
      </c>
    </row>
    <row r="905" spans="2:12" x14ac:dyDescent="0.35">
      <c r="B905" s="12"/>
      <c r="C905" s="11"/>
      <c r="D905" s="11"/>
      <c r="E905" s="11"/>
      <c r="F905" s="1" t="str">
        <f t="shared" si="52"/>
        <v/>
      </c>
      <c r="G905" s="1" t="str">
        <f t="shared" si="53"/>
        <v/>
      </c>
      <c r="H905" s="1" t="str">
        <f t="shared" si="54"/>
        <v/>
      </c>
      <c r="I905" s="1" t="str">
        <f>IF($L905="","",INDEX(Ref_AccountRules,$L905,3))</f>
        <v/>
      </c>
      <c r="J905" s="1" t="str">
        <f>IF($L905="","",INDEX(Ref_AccountRules,$L905,4))</f>
        <v/>
      </c>
      <c r="K905" s="1" t="str">
        <f>IF($L905="","",INDEX(Ref_AccountRules,$L905,5))</f>
        <v/>
      </c>
      <c r="L905" s="1" t="str">
        <f t="shared" si="55"/>
        <v/>
      </c>
    </row>
    <row r="906" spans="2:12" x14ac:dyDescent="0.35">
      <c r="B906" s="12"/>
      <c r="C906" s="11"/>
      <c r="D906" s="11"/>
      <c r="E906" s="11"/>
      <c r="F906" s="1" t="str">
        <f t="shared" si="52"/>
        <v/>
      </c>
      <c r="G906" s="1" t="str">
        <f t="shared" si="53"/>
        <v/>
      </c>
      <c r="H906" s="1" t="str">
        <f t="shared" si="54"/>
        <v/>
      </c>
      <c r="I906" s="1" t="str">
        <f>IF($L906="","",INDEX(Ref_AccountRules,$L906,3))</f>
        <v/>
      </c>
      <c r="J906" s="1" t="str">
        <f>IF($L906="","",INDEX(Ref_AccountRules,$L906,4))</f>
        <v/>
      </c>
      <c r="K906" s="1" t="str">
        <f>IF($L906="","",INDEX(Ref_AccountRules,$L906,5))</f>
        <v/>
      </c>
      <c r="L906" s="1" t="str">
        <f t="shared" si="55"/>
        <v/>
      </c>
    </row>
    <row r="907" spans="2:12" x14ac:dyDescent="0.35">
      <c r="B907" s="12"/>
      <c r="C907" s="11"/>
      <c r="D907" s="11"/>
      <c r="E907" s="11"/>
      <c r="F907" s="1" t="str">
        <f t="shared" ref="F907:F970" si="56">IF($B907="","",E907-D907)</f>
        <v/>
      </c>
      <c r="G907" s="1" t="str">
        <f t="shared" ref="G907:G970" si="57">IF($B907="","",IF(D907=0,0,(E907-D907)/ABS(D907)*100))</f>
        <v/>
      </c>
      <c r="H907" s="1" t="str">
        <f t="shared" ref="H907:H970" si="58">IF($B907="","",IF(LEFT($B907,6)="606880","emballages",IF(LEFT($B907,4)="6068","emballages",IF(LEFT($B907,3)="606","energie_dechets",IF(LEFT($B907,3)="164","tresorerie_financement",IF(LEFT($B907,2)="20","immobilisations",IF(LEFT($B907,2)="21","immobilisations",IF(LEFT($B907,2)="22","immobilisations",IF(LEFT($B907,2)="23","immobilisations",IF(LEFT($B907,2)="28","immobilisations",IF(LEFT($B907,2)="40","fournisseurs",IF(LEFT($B907,2)="41","clients",IF(LEFT($B907,2)="32","stocks",IF(LEFT($B907,2)="60","charges",IF(LEFT($B907,2)="61","services",IF(LEFT($B907,2)="62","personnel",IF(LEFT($B907,2)="63","fiscal",IF(LEFT($B907,2)="64","financier","autres"))))))))))))))))))</f>
        <v/>
      </c>
      <c r="I907" s="1" t="str">
        <f>IF($L907="","",INDEX(Ref_AccountRules,$L907,3))</f>
        <v/>
      </c>
      <c r="J907" s="1" t="str">
        <f>IF($L907="","",INDEX(Ref_AccountRules,$L907,4))</f>
        <v/>
      </c>
      <c r="K907" s="1" t="str">
        <f>IF($L907="","",INDEX(Ref_AccountRules,$L907,5))</f>
        <v/>
      </c>
      <c r="L907" s="1" t="str">
        <f t="shared" ref="L907:L970" si="59">IF($B907="","",IF(LEFT($B907,3)="215",1,IF(LEFT($B907,4)="2183",2,IF(LEFT($B907,3)="401",3,IF(LEFT($B907,3)="411",4,IF(LEFT($B907,3)="322",5,IF(LEFT($B907,4)="3220",6,IF(LEFT($B907,5)="32200",7,IF(LEFT($B907,3)="625",8,IF(LEFT($B907,3)="606",9,IF(LEFT($B907,3)="164",10,IF(LEFT($B907,6)="606880",11,""))))))))))))</f>
        <v/>
      </c>
    </row>
    <row r="908" spans="2:12" x14ac:dyDescent="0.35">
      <c r="B908" s="12"/>
      <c r="C908" s="11"/>
      <c r="D908" s="11"/>
      <c r="E908" s="11"/>
      <c r="F908" s="1" t="str">
        <f t="shared" si="56"/>
        <v/>
      </c>
      <c r="G908" s="1" t="str">
        <f t="shared" si="57"/>
        <v/>
      </c>
      <c r="H908" s="1" t="str">
        <f t="shared" si="58"/>
        <v/>
      </c>
      <c r="I908" s="1" t="str">
        <f>IF($L908="","",INDEX(Ref_AccountRules,$L908,3))</f>
        <v/>
      </c>
      <c r="J908" s="1" t="str">
        <f>IF($L908="","",INDEX(Ref_AccountRules,$L908,4))</f>
        <v/>
      </c>
      <c r="K908" s="1" t="str">
        <f>IF($L908="","",INDEX(Ref_AccountRules,$L908,5))</f>
        <v/>
      </c>
      <c r="L908" s="1" t="str">
        <f t="shared" si="59"/>
        <v/>
      </c>
    </row>
    <row r="909" spans="2:12" x14ac:dyDescent="0.35">
      <c r="B909" s="12"/>
      <c r="C909" s="11"/>
      <c r="D909" s="11"/>
      <c r="E909" s="11"/>
      <c r="F909" s="1" t="str">
        <f t="shared" si="56"/>
        <v/>
      </c>
      <c r="G909" s="1" t="str">
        <f t="shared" si="57"/>
        <v/>
      </c>
      <c r="H909" s="1" t="str">
        <f t="shared" si="58"/>
        <v/>
      </c>
      <c r="I909" s="1" t="str">
        <f>IF($L909="","",INDEX(Ref_AccountRules,$L909,3))</f>
        <v/>
      </c>
      <c r="J909" s="1" t="str">
        <f>IF($L909="","",INDEX(Ref_AccountRules,$L909,4))</f>
        <v/>
      </c>
      <c r="K909" s="1" t="str">
        <f>IF($L909="","",INDEX(Ref_AccountRules,$L909,5))</f>
        <v/>
      </c>
      <c r="L909" s="1" t="str">
        <f t="shared" si="59"/>
        <v/>
      </c>
    </row>
    <row r="910" spans="2:12" x14ac:dyDescent="0.35">
      <c r="B910" s="12"/>
      <c r="C910" s="11"/>
      <c r="D910" s="11"/>
      <c r="E910" s="11"/>
      <c r="F910" s="1" t="str">
        <f t="shared" si="56"/>
        <v/>
      </c>
      <c r="G910" s="1" t="str">
        <f t="shared" si="57"/>
        <v/>
      </c>
      <c r="H910" s="1" t="str">
        <f t="shared" si="58"/>
        <v/>
      </c>
      <c r="I910" s="1" t="str">
        <f>IF($L910="","",INDEX(Ref_AccountRules,$L910,3))</f>
        <v/>
      </c>
      <c r="J910" s="1" t="str">
        <f>IF($L910="","",INDEX(Ref_AccountRules,$L910,4))</f>
        <v/>
      </c>
      <c r="K910" s="1" t="str">
        <f>IF($L910="","",INDEX(Ref_AccountRules,$L910,5))</f>
        <v/>
      </c>
      <c r="L910" s="1" t="str">
        <f t="shared" si="59"/>
        <v/>
      </c>
    </row>
    <row r="911" spans="2:12" x14ac:dyDescent="0.35">
      <c r="B911" s="12"/>
      <c r="C911" s="11"/>
      <c r="D911" s="11"/>
      <c r="E911" s="11"/>
      <c r="F911" s="1" t="str">
        <f t="shared" si="56"/>
        <v/>
      </c>
      <c r="G911" s="1" t="str">
        <f t="shared" si="57"/>
        <v/>
      </c>
      <c r="H911" s="1" t="str">
        <f t="shared" si="58"/>
        <v/>
      </c>
      <c r="I911" s="1" t="str">
        <f>IF($L911="","",INDEX(Ref_AccountRules,$L911,3))</f>
        <v/>
      </c>
      <c r="J911" s="1" t="str">
        <f>IF($L911="","",INDEX(Ref_AccountRules,$L911,4))</f>
        <v/>
      </c>
      <c r="K911" s="1" t="str">
        <f>IF($L911="","",INDEX(Ref_AccountRules,$L911,5))</f>
        <v/>
      </c>
      <c r="L911" s="1" t="str">
        <f t="shared" si="59"/>
        <v/>
      </c>
    </row>
    <row r="912" spans="2:12" x14ac:dyDescent="0.35">
      <c r="B912" s="12"/>
      <c r="C912" s="11"/>
      <c r="D912" s="11"/>
      <c r="E912" s="11"/>
      <c r="F912" s="1" t="str">
        <f t="shared" si="56"/>
        <v/>
      </c>
      <c r="G912" s="1" t="str">
        <f t="shared" si="57"/>
        <v/>
      </c>
      <c r="H912" s="1" t="str">
        <f t="shared" si="58"/>
        <v/>
      </c>
      <c r="I912" s="1" t="str">
        <f>IF($L912="","",INDEX(Ref_AccountRules,$L912,3))</f>
        <v/>
      </c>
      <c r="J912" s="1" t="str">
        <f>IF($L912="","",INDEX(Ref_AccountRules,$L912,4))</f>
        <v/>
      </c>
      <c r="K912" s="1" t="str">
        <f>IF($L912="","",INDEX(Ref_AccountRules,$L912,5))</f>
        <v/>
      </c>
      <c r="L912" s="1" t="str">
        <f t="shared" si="59"/>
        <v/>
      </c>
    </row>
    <row r="913" spans="2:12" x14ac:dyDescent="0.35">
      <c r="B913" s="12"/>
      <c r="C913" s="11"/>
      <c r="D913" s="11"/>
      <c r="E913" s="11"/>
      <c r="F913" s="1" t="str">
        <f t="shared" si="56"/>
        <v/>
      </c>
      <c r="G913" s="1" t="str">
        <f t="shared" si="57"/>
        <v/>
      </c>
      <c r="H913" s="1" t="str">
        <f t="shared" si="58"/>
        <v/>
      </c>
      <c r="I913" s="1" t="str">
        <f>IF($L913="","",INDEX(Ref_AccountRules,$L913,3))</f>
        <v/>
      </c>
      <c r="J913" s="1" t="str">
        <f>IF($L913="","",INDEX(Ref_AccountRules,$L913,4))</f>
        <v/>
      </c>
      <c r="K913" s="1" t="str">
        <f>IF($L913="","",INDEX(Ref_AccountRules,$L913,5))</f>
        <v/>
      </c>
      <c r="L913" s="1" t="str">
        <f t="shared" si="59"/>
        <v/>
      </c>
    </row>
    <row r="914" spans="2:12" x14ac:dyDescent="0.35">
      <c r="B914" s="12"/>
      <c r="C914" s="11"/>
      <c r="D914" s="11"/>
      <c r="E914" s="11"/>
      <c r="F914" s="1" t="str">
        <f t="shared" si="56"/>
        <v/>
      </c>
      <c r="G914" s="1" t="str">
        <f t="shared" si="57"/>
        <v/>
      </c>
      <c r="H914" s="1" t="str">
        <f t="shared" si="58"/>
        <v/>
      </c>
      <c r="I914" s="1" t="str">
        <f>IF($L914="","",INDEX(Ref_AccountRules,$L914,3))</f>
        <v/>
      </c>
      <c r="J914" s="1" t="str">
        <f>IF($L914="","",INDEX(Ref_AccountRules,$L914,4))</f>
        <v/>
      </c>
      <c r="K914" s="1" t="str">
        <f>IF($L914="","",INDEX(Ref_AccountRules,$L914,5))</f>
        <v/>
      </c>
      <c r="L914" s="1" t="str">
        <f t="shared" si="59"/>
        <v/>
      </c>
    </row>
    <row r="915" spans="2:12" x14ac:dyDescent="0.35">
      <c r="B915" s="12"/>
      <c r="C915" s="11"/>
      <c r="D915" s="11"/>
      <c r="E915" s="11"/>
      <c r="F915" s="1" t="str">
        <f t="shared" si="56"/>
        <v/>
      </c>
      <c r="G915" s="1" t="str">
        <f t="shared" si="57"/>
        <v/>
      </c>
      <c r="H915" s="1" t="str">
        <f t="shared" si="58"/>
        <v/>
      </c>
      <c r="I915" s="1" t="str">
        <f>IF($L915="","",INDEX(Ref_AccountRules,$L915,3))</f>
        <v/>
      </c>
      <c r="J915" s="1" t="str">
        <f>IF($L915="","",INDEX(Ref_AccountRules,$L915,4))</f>
        <v/>
      </c>
      <c r="K915" s="1" t="str">
        <f>IF($L915="","",INDEX(Ref_AccountRules,$L915,5))</f>
        <v/>
      </c>
      <c r="L915" s="1" t="str">
        <f t="shared" si="59"/>
        <v/>
      </c>
    </row>
    <row r="916" spans="2:12" x14ac:dyDescent="0.35">
      <c r="B916" s="12"/>
      <c r="C916" s="11"/>
      <c r="D916" s="11"/>
      <c r="E916" s="11"/>
      <c r="F916" s="1" t="str">
        <f t="shared" si="56"/>
        <v/>
      </c>
      <c r="G916" s="1" t="str">
        <f t="shared" si="57"/>
        <v/>
      </c>
      <c r="H916" s="1" t="str">
        <f t="shared" si="58"/>
        <v/>
      </c>
      <c r="I916" s="1" t="str">
        <f>IF($L916="","",INDEX(Ref_AccountRules,$L916,3))</f>
        <v/>
      </c>
      <c r="J916" s="1" t="str">
        <f>IF($L916="","",INDEX(Ref_AccountRules,$L916,4))</f>
        <v/>
      </c>
      <c r="K916" s="1" t="str">
        <f>IF($L916="","",INDEX(Ref_AccountRules,$L916,5))</f>
        <v/>
      </c>
      <c r="L916" s="1" t="str">
        <f t="shared" si="59"/>
        <v/>
      </c>
    </row>
    <row r="917" spans="2:12" x14ac:dyDescent="0.35">
      <c r="B917" s="12"/>
      <c r="C917" s="11"/>
      <c r="D917" s="11"/>
      <c r="E917" s="11"/>
      <c r="F917" s="1" t="str">
        <f t="shared" si="56"/>
        <v/>
      </c>
      <c r="G917" s="1" t="str">
        <f t="shared" si="57"/>
        <v/>
      </c>
      <c r="H917" s="1" t="str">
        <f t="shared" si="58"/>
        <v/>
      </c>
      <c r="I917" s="1" t="str">
        <f>IF($L917="","",INDEX(Ref_AccountRules,$L917,3))</f>
        <v/>
      </c>
      <c r="J917" s="1" t="str">
        <f>IF($L917="","",INDEX(Ref_AccountRules,$L917,4))</f>
        <v/>
      </c>
      <c r="K917" s="1" t="str">
        <f>IF($L917="","",INDEX(Ref_AccountRules,$L917,5))</f>
        <v/>
      </c>
      <c r="L917" s="1" t="str">
        <f t="shared" si="59"/>
        <v/>
      </c>
    </row>
    <row r="918" spans="2:12" x14ac:dyDescent="0.35">
      <c r="B918" s="12"/>
      <c r="C918" s="11"/>
      <c r="D918" s="11"/>
      <c r="E918" s="11"/>
      <c r="F918" s="1" t="str">
        <f t="shared" si="56"/>
        <v/>
      </c>
      <c r="G918" s="1" t="str">
        <f t="shared" si="57"/>
        <v/>
      </c>
      <c r="H918" s="1" t="str">
        <f t="shared" si="58"/>
        <v/>
      </c>
      <c r="I918" s="1" t="str">
        <f>IF($L918="","",INDEX(Ref_AccountRules,$L918,3))</f>
        <v/>
      </c>
      <c r="J918" s="1" t="str">
        <f>IF($L918="","",INDEX(Ref_AccountRules,$L918,4))</f>
        <v/>
      </c>
      <c r="K918" s="1" t="str">
        <f>IF($L918="","",INDEX(Ref_AccountRules,$L918,5))</f>
        <v/>
      </c>
      <c r="L918" s="1" t="str">
        <f t="shared" si="59"/>
        <v/>
      </c>
    </row>
    <row r="919" spans="2:12" x14ac:dyDescent="0.35">
      <c r="B919" s="12"/>
      <c r="C919" s="11"/>
      <c r="D919" s="11"/>
      <c r="E919" s="11"/>
      <c r="F919" s="1" t="str">
        <f t="shared" si="56"/>
        <v/>
      </c>
      <c r="G919" s="1" t="str">
        <f t="shared" si="57"/>
        <v/>
      </c>
      <c r="H919" s="1" t="str">
        <f t="shared" si="58"/>
        <v/>
      </c>
      <c r="I919" s="1" t="str">
        <f>IF($L919="","",INDEX(Ref_AccountRules,$L919,3))</f>
        <v/>
      </c>
      <c r="J919" s="1" t="str">
        <f>IF($L919="","",INDEX(Ref_AccountRules,$L919,4))</f>
        <v/>
      </c>
      <c r="K919" s="1" t="str">
        <f>IF($L919="","",INDEX(Ref_AccountRules,$L919,5))</f>
        <v/>
      </c>
      <c r="L919" s="1" t="str">
        <f t="shared" si="59"/>
        <v/>
      </c>
    </row>
    <row r="920" spans="2:12" x14ac:dyDescent="0.35">
      <c r="B920" s="12"/>
      <c r="C920" s="11"/>
      <c r="D920" s="11"/>
      <c r="E920" s="11"/>
      <c r="F920" s="1" t="str">
        <f t="shared" si="56"/>
        <v/>
      </c>
      <c r="G920" s="1" t="str">
        <f t="shared" si="57"/>
        <v/>
      </c>
      <c r="H920" s="1" t="str">
        <f t="shared" si="58"/>
        <v/>
      </c>
      <c r="I920" s="1" t="str">
        <f>IF($L920="","",INDEX(Ref_AccountRules,$L920,3))</f>
        <v/>
      </c>
      <c r="J920" s="1" t="str">
        <f>IF($L920="","",INDEX(Ref_AccountRules,$L920,4))</f>
        <v/>
      </c>
      <c r="K920" s="1" t="str">
        <f>IF($L920="","",INDEX(Ref_AccountRules,$L920,5))</f>
        <v/>
      </c>
      <c r="L920" s="1" t="str">
        <f t="shared" si="59"/>
        <v/>
      </c>
    </row>
    <row r="921" spans="2:12" x14ac:dyDescent="0.35">
      <c r="B921" s="12"/>
      <c r="C921" s="11"/>
      <c r="D921" s="11"/>
      <c r="E921" s="11"/>
      <c r="F921" s="1" t="str">
        <f t="shared" si="56"/>
        <v/>
      </c>
      <c r="G921" s="1" t="str">
        <f t="shared" si="57"/>
        <v/>
      </c>
      <c r="H921" s="1" t="str">
        <f t="shared" si="58"/>
        <v/>
      </c>
      <c r="I921" s="1" t="str">
        <f>IF($L921="","",INDEX(Ref_AccountRules,$L921,3))</f>
        <v/>
      </c>
      <c r="J921" s="1" t="str">
        <f>IF($L921="","",INDEX(Ref_AccountRules,$L921,4))</f>
        <v/>
      </c>
      <c r="K921" s="1" t="str">
        <f>IF($L921="","",INDEX(Ref_AccountRules,$L921,5))</f>
        <v/>
      </c>
      <c r="L921" s="1" t="str">
        <f t="shared" si="59"/>
        <v/>
      </c>
    </row>
    <row r="922" spans="2:12" x14ac:dyDescent="0.35">
      <c r="B922" s="12"/>
      <c r="C922" s="11"/>
      <c r="D922" s="11"/>
      <c r="E922" s="11"/>
      <c r="F922" s="1" t="str">
        <f t="shared" si="56"/>
        <v/>
      </c>
      <c r="G922" s="1" t="str">
        <f t="shared" si="57"/>
        <v/>
      </c>
      <c r="H922" s="1" t="str">
        <f t="shared" si="58"/>
        <v/>
      </c>
      <c r="I922" s="1" t="str">
        <f>IF($L922="","",INDEX(Ref_AccountRules,$L922,3))</f>
        <v/>
      </c>
      <c r="J922" s="1" t="str">
        <f>IF($L922="","",INDEX(Ref_AccountRules,$L922,4))</f>
        <v/>
      </c>
      <c r="K922" s="1" t="str">
        <f>IF($L922="","",INDEX(Ref_AccountRules,$L922,5))</f>
        <v/>
      </c>
      <c r="L922" s="1" t="str">
        <f t="shared" si="59"/>
        <v/>
      </c>
    </row>
    <row r="923" spans="2:12" x14ac:dyDescent="0.35">
      <c r="B923" s="12"/>
      <c r="C923" s="11"/>
      <c r="D923" s="11"/>
      <c r="E923" s="11"/>
      <c r="F923" s="1" t="str">
        <f t="shared" si="56"/>
        <v/>
      </c>
      <c r="G923" s="1" t="str">
        <f t="shared" si="57"/>
        <v/>
      </c>
      <c r="H923" s="1" t="str">
        <f t="shared" si="58"/>
        <v/>
      </c>
      <c r="I923" s="1" t="str">
        <f>IF($L923="","",INDEX(Ref_AccountRules,$L923,3))</f>
        <v/>
      </c>
      <c r="J923" s="1" t="str">
        <f>IF($L923="","",INDEX(Ref_AccountRules,$L923,4))</f>
        <v/>
      </c>
      <c r="K923" s="1" t="str">
        <f>IF($L923="","",INDEX(Ref_AccountRules,$L923,5))</f>
        <v/>
      </c>
      <c r="L923" s="1" t="str">
        <f t="shared" si="59"/>
        <v/>
      </c>
    </row>
    <row r="924" spans="2:12" x14ac:dyDescent="0.35">
      <c r="B924" s="12"/>
      <c r="C924" s="11"/>
      <c r="D924" s="11"/>
      <c r="E924" s="11"/>
      <c r="F924" s="1" t="str">
        <f t="shared" si="56"/>
        <v/>
      </c>
      <c r="G924" s="1" t="str">
        <f t="shared" si="57"/>
        <v/>
      </c>
      <c r="H924" s="1" t="str">
        <f t="shared" si="58"/>
        <v/>
      </c>
      <c r="I924" s="1" t="str">
        <f>IF($L924="","",INDEX(Ref_AccountRules,$L924,3))</f>
        <v/>
      </c>
      <c r="J924" s="1" t="str">
        <f>IF($L924="","",INDEX(Ref_AccountRules,$L924,4))</f>
        <v/>
      </c>
      <c r="K924" s="1" t="str">
        <f>IF($L924="","",INDEX(Ref_AccountRules,$L924,5))</f>
        <v/>
      </c>
      <c r="L924" s="1" t="str">
        <f t="shared" si="59"/>
        <v/>
      </c>
    </row>
    <row r="925" spans="2:12" x14ac:dyDescent="0.35">
      <c r="B925" s="12"/>
      <c r="C925" s="11"/>
      <c r="D925" s="11"/>
      <c r="E925" s="11"/>
      <c r="F925" s="1" t="str">
        <f t="shared" si="56"/>
        <v/>
      </c>
      <c r="G925" s="1" t="str">
        <f t="shared" si="57"/>
        <v/>
      </c>
      <c r="H925" s="1" t="str">
        <f t="shared" si="58"/>
        <v/>
      </c>
      <c r="I925" s="1" t="str">
        <f>IF($L925="","",INDEX(Ref_AccountRules,$L925,3))</f>
        <v/>
      </c>
      <c r="J925" s="1" t="str">
        <f>IF($L925="","",INDEX(Ref_AccountRules,$L925,4))</f>
        <v/>
      </c>
      <c r="K925" s="1" t="str">
        <f>IF($L925="","",INDEX(Ref_AccountRules,$L925,5))</f>
        <v/>
      </c>
      <c r="L925" s="1" t="str">
        <f t="shared" si="59"/>
        <v/>
      </c>
    </row>
    <row r="926" spans="2:12" x14ac:dyDescent="0.35">
      <c r="B926" s="12"/>
      <c r="C926" s="11"/>
      <c r="D926" s="11"/>
      <c r="E926" s="11"/>
      <c r="F926" s="1" t="str">
        <f t="shared" si="56"/>
        <v/>
      </c>
      <c r="G926" s="1" t="str">
        <f t="shared" si="57"/>
        <v/>
      </c>
      <c r="H926" s="1" t="str">
        <f t="shared" si="58"/>
        <v/>
      </c>
      <c r="I926" s="1" t="str">
        <f>IF($L926="","",INDEX(Ref_AccountRules,$L926,3))</f>
        <v/>
      </c>
      <c r="J926" s="1" t="str">
        <f>IF($L926="","",INDEX(Ref_AccountRules,$L926,4))</f>
        <v/>
      </c>
      <c r="K926" s="1" t="str">
        <f>IF($L926="","",INDEX(Ref_AccountRules,$L926,5))</f>
        <v/>
      </c>
      <c r="L926" s="1" t="str">
        <f t="shared" si="59"/>
        <v/>
      </c>
    </row>
    <row r="927" spans="2:12" x14ac:dyDescent="0.35">
      <c r="B927" s="12"/>
      <c r="C927" s="11"/>
      <c r="D927" s="11"/>
      <c r="E927" s="11"/>
      <c r="F927" s="1" t="str">
        <f t="shared" si="56"/>
        <v/>
      </c>
      <c r="G927" s="1" t="str">
        <f t="shared" si="57"/>
        <v/>
      </c>
      <c r="H927" s="1" t="str">
        <f t="shared" si="58"/>
        <v/>
      </c>
      <c r="I927" s="1" t="str">
        <f>IF($L927="","",INDEX(Ref_AccountRules,$L927,3))</f>
        <v/>
      </c>
      <c r="J927" s="1" t="str">
        <f>IF($L927="","",INDEX(Ref_AccountRules,$L927,4))</f>
        <v/>
      </c>
      <c r="K927" s="1" t="str">
        <f>IF($L927="","",INDEX(Ref_AccountRules,$L927,5))</f>
        <v/>
      </c>
      <c r="L927" s="1" t="str">
        <f t="shared" si="59"/>
        <v/>
      </c>
    </row>
    <row r="928" spans="2:12" x14ac:dyDescent="0.35">
      <c r="B928" s="12"/>
      <c r="C928" s="11"/>
      <c r="D928" s="11"/>
      <c r="E928" s="11"/>
      <c r="F928" s="1" t="str">
        <f t="shared" si="56"/>
        <v/>
      </c>
      <c r="G928" s="1" t="str">
        <f t="shared" si="57"/>
        <v/>
      </c>
      <c r="H928" s="1" t="str">
        <f t="shared" si="58"/>
        <v/>
      </c>
      <c r="I928" s="1" t="str">
        <f>IF($L928="","",INDEX(Ref_AccountRules,$L928,3))</f>
        <v/>
      </c>
      <c r="J928" s="1" t="str">
        <f>IF($L928="","",INDEX(Ref_AccountRules,$L928,4))</f>
        <v/>
      </c>
      <c r="K928" s="1" t="str">
        <f>IF($L928="","",INDEX(Ref_AccountRules,$L928,5))</f>
        <v/>
      </c>
      <c r="L928" s="1" t="str">
        <f t="shared" si="59"/>
        <v/>
      </c>
    </row>
    <row r="929" spans="2:12" x14ac:dyDescent="0.35">
      <c r="B929" s="12"/>
      <c r="C929" s="11"/>
      <c r="D929" s="11"/>
      <c r="E929" s="11"/>
      <c r="F929" s="1" t="str">
        <f t="shared" si="56"/>
        <v/>
      </c>
      <c r="G929" s="1" t="str">
        <f t="shared" si="57"/>
        <v/>
      </c>
      <c r="H929" s="1" t="str">
        <f t="shared" si="58"/>
        <v/>
      </c>
      <c r="I929" s="1" t="str">
        <f>IF($L929="","",INDEX(Ref_AccountRules,$L929,3))</f>
        <v/>
      </c>
      <c r="J929" s="1" t="str">
        <f>IF($L929="","",INDEX(Ref_AccountRules,$L929,4))</f>
        <v/>
      </c>
      <c r="K929" s="1" t="str">
        <f>IF($L929="","",INDEX(Ref_AccountRules,$L929,5))</f>
        <v/>
      </c>
      <c r="L929" s="1" t="str">
        <f t="shared" si="59"/>
        <v/>
      </c>
    </row>
    <row r="930" spans="2:12" x14ac:dyDescent="0.35">
      <c r="B930" s="12"/>
      <c r="C930" s="11"/>
      <c r="D930" s="11"/>
      <c r="E930" s="11"/>
      <c r="F930" s="1" t="str">
        <f t="shared" si="56"/>
        <v/>
      </c>
      <c r="G930" s="1" t="str">
        <f t="shared" si="57"/>
        <v/>
      </c>
      <c r="H930" s="1" t="str">
        <f t="shared" si="58"/>
        <v/>
      </c>
      <c r="I930" s="1" t="str">
        <f>IF($L930="","",INDEX(Ref_AccountRules,$L930,3))</f>
        <v/>
      </c>
      <c r="J930" s="1" t="str">
        <f>IF($L930="","",INDEX(Ref_AccountRules,$L930,4))</f>
        <v/>
      </c>
      <c r="K930" s="1" t="str">
        <f>IF($L930="","",INDEX(Ref_AccountRules,$L930,5))</f>
        <v/>
      </c>
      <c r="L930" s="1" t="str">
        <f t="shared" si="59"/>
        <v/>
      </c>
    </row>
    <row r="931" spans="2:12" x14ac:dyDescent="0.35">
      <c r="B931" s="12"/>
      <c r="C931" s="11"/>
      <c r="D931" s="11"/>
      <c r="E931" s="11"/>
      <c r="F931" s="1" t="str">
        <f t="shared" si="56"/>
        <v/>
      </c>
      <c r="G931" s="1" t="str">
        <f t="shared" si="57"/>
        <v/>
      </c>
      <c r="H931" s="1" t="str">
        <f t="shared" si="58"/>
        <v/>
      </c>
      <c r="I931" s="1" t="str">
        <f>IF($L931="","",INDEX(Ref_AccountRules,$L931,3))</f>
        <v/>
      </c>
      <c r="J931" s="1" t="str">
        <f>IF($L931="","",INDEX(Ref_AccountRules,$L931,4))</f>
        <v/>
      </c>
      <c r="K931" s="1" t="str">
        <f>IF($L931="","",INDEX(Ref_AccountRules,$L931,5))</f>
        <v/>
      </c>
      <c r="L931" s="1" t="str">
        <f t="shared" si="59"/>
        <v/>
      </c>
    </row>
    <row r="932" spans="2:12" x14ac:dyDescent="0.35">
      <c r="B932" s="12"/>
      <c r="C932" s="11"/>
      <c r="D932" s="11"/>
      <c r="E932" s="11"/>
      <c r="F932" s="1" t="str">
        <f t="shared" si="56"/>
        <v/>
      </c>
      <c r="G932" s="1" t="str">
        <f t="shared" si="57"/>
        <v/>
      </c>
      <c r="H932" s="1" t="str">
        <f t="shared" si="58"/>
        <v/>
      </c>
      <c r="I932" s="1" t="str">
        <f>IF($L932="","",INDEX(Ref_AccountRules,$L932,3))</f>
        <v/>
      </c>
      <c r="J932" s="1" t="str">
        <f>IF($L932="","",INDEX(Ref_AccountRules,$L932,4))</f>
        <v/>
      </c>
      <c r="K932" s="1" t="str">
        <f>IF($L932="","",INDEX(Ref_AccountRules,$L932,5))</f>
        <v/>
      </c>
      <c r="L932" s="1" t="str">
        <f t="shared" si="59"/>
        <v/>
      </c>
    </row>
    <row r="933" spans="2:12" x14ac:dyDescent="0.35">
      <c r="B933" s="12"/>
      <c r="C933" s="11"/>
      <c r="D933" s="11"/>
      <c r="E933" s="11"/>
      <c r="F933" s="1" t="str">
        <f t="shared" si="56"/>
        <v/>
      </c>
      <c r="G933" s="1" t="str">
        <f t="shared" si="57"/>
        <v/>
      </c>
      <c r="H933" s="1" t="str">
        <f t="shared" si="58"/>
        <v/>
      </c>
      <c r="I933" s="1" t="str">
        <f>IF($L933="","",INDEX(Ref_AccountRules,$L933,3))</f>
        <v/>
      </c>
      <c r="J933" s="1" t="str">
        <f>IF($L933="","",INDEX(Ref_AccountRules,$L933,4))</f>
        <v/>
      </c>
      <c r="K933" s="1" t="str">
        <f>IF($L933="","",INDEX(Ref_AccountRules,$L933,5))</f>
        <v/>
      </c>
      <c r="L933" s="1" t="str">
        <f t="shared" si="59"/>
        <v/>
      </c>
    </row>
    <row r="934" spans="2:12" x14ac:dyDescent="0.35">
      <c r="B934" s="12"/>
      <c r="C934" s="11"/>
      <c r="D934" s="11"/>
      <c r="E934" s="11"/>
      <c r="F934" s="1" t="str">
        <f t="shared" si="56"/>
        <v/>
      </c>
      <c r="G934" s="1" t="str">
        <f t="shared" si="57"/>
        <v/>
      </c>
      <c r="H934" s="1" t="str">
        <f t="shared" si="58"/>
        <v/>
      </c>
      <c r="I934" s="1" t="str">
        <f>IF($L934="","",INDEX(Ref_AccountRules,$L934,3))</f>
        <v/>
      </c>
      <c r="J934" s="1" t="str">
        <f>IF($L934="","",INDEX(Ref_AccountRules,$L934,4))</f>
        <v/>
      </c>
      <c r="K934" s="1" t="str">
        <f>IF($L934="","",INDEX(Ref_AccountRules,$L934,5))</f>
        <v/>
      </c>
      <c r="L934" s="1" t="str">
        <f t="shared" si="59"/>
        <v/>
      </c>
    </row>
    <row r="935" spans="2:12" x14ac:dyDescent="0.35">
      <c r="B935" s="12"/>
      <c r="C935" s="11"/>
      <c r="D935" s="11"/>
      <c r="E935" s="11"/>
      <c r="F935" s="1" t="str">
        <f t="shared" si="56"/>
        <v/>
      </c>
      <c r="G935" s="1" t="str">
        <f t="shared" si="57"/>
        <v/>
      </c>
      <c r="H935" s="1" t="str">
        <f t="shared" si="58"/>
        <v/>
      </c>
      <c r="I935" s="1" t="str">
        <f>IF($L935="","",INDEX(Ref_AccountRules,$L935,3))</f>
        <v/>
      </c>
      <c r="J935" s="1" t="str">
        <f>IF($L935="","",INDEX(Ref_AccountRules,$L935,4))</f>
        <v/>
      </c>
      <c r="K935" s="1" t="str">
        <f>IF($L935="","",INDEX(Ref_AccountRules,$L935,5))</f>
        <v/>
      </c>
      <c r="L935" s="1" t="str">
        <f t="shared" si="59"/>
        <v/>
      </c>
    </row>
    <row r="936" spans="2:12" x14ac:dyDescent="0.35">
      <c r="B936" s="12"/>
      <c r="C936" s="11"/>
      <c r="D936" s="11"/>
      <c r="E936" s="11"/>
      <c r="F936" s="1" t="str">
        <f t="shared" si="56"/>
        <v/>
      </c>
      <c r="G936" s="1" t="str">
        <f t="shared" si="57"/>
        <v/>
      </c>
      <c r="H936" s="1" t="str">
        <f t="shared" si="58"/>
        <v/>
      </c>
      <c r="I936" s="1" t="str">
        <f>IF($L936="","",INDEX(Ref_AccountRules,$L936,3))</f>
        <v/>
      </c>
      <c r="J936" s="1" t="str">
        <f>IF($L936="","",INDEX(Ref_AccountRules,$L936,4))</f>
        <v/>
      </c>
      <c r="K936" s="1" t="str">
        <f>IF($L936="","",INDEX(Ref_AccountRules,$L936,5))</f>
        <v/>
      </c>
      <c r="L936" s="1" t="str">
        <f t="shared" si="59"/>
        <v/>
      </c>
    </row>
    <row r="937" spans="2:12" x14ac:dyDescent="0.35">
      <c r="B937" s="12"/>
      <c r="C937" s="11"/>
      <c r="D937" s="11"/>
      <c r="E937" s="11"/>
      <c r="F937" s="1" t="str">
        <f t="shared" si="56"/>
        <v/>
      </c>
      <c r="G937" s="1" t="str">
        <f t="shared" si="57"/>
        <v/>
      </c>
      <c r="H937" s="1" t="str">
        <f t="shared" si="58"/>
        <v/>
      </c>
      <c r="I937" s="1" t="str">
        <f>IF($L937="","",INDEX(Ref_AccountRules,$L937,3))</f>
        <v/>
      </c>
      <c r="J937" s="1" t="str">
        <f>IF($L937="","",INDEX(Ref_AccountRules,$L937,4))</f>
        <v/>
      </c>
      <c r="K937" s="1" t="str">
        <f>IF($L937="","",INDEX(Ref_AccountRules,$L937,5))</f>
        <v/>
      </c>
      <c r="L937" s="1" t="str">
        <f t="shared" si="59"/>
        <v/>
      </c>
    </row>
    <row r="938" spans="2:12" x14ac:dyDescent="0.35">
      <c r="B938" s="12"/>
      <c r="C938" s="11"/>
      <c r="D938" s="11"/>
      <c r="E938" s="11"/>
      <c r="F938" s="1" t="str">
        <f t="shared" si="56"/>
        <v/>
      </c>
      <c r="G938" s="1" t="str">
        <f t="shared" si="57"/>
        <v/>
      </c>
      <c r="H938" s="1" t="str">
        <f t="shared" si="58"/>
        <v/>
      </c>
      <c r="I938" s="1" t="str">
        <f>IF($L938="","",INDEX(Ref_AccountRules,$L938,3))</f>
        <v/>
      </c>
      <c r="J938" s="1" t="str">
        <f>IF($L938="","",INDEX(Ref_AccountRules,$L938,4))</f>
        <v/>
      </c>
      <c r="K938" s="1" t="str">
        <f>IF($L938="","",INDEX(Ref_AccountRules,$L938,5))</f>
        <v/>
      </c>
      <c r="L938" s="1" t="str">
        <f t="shared" si="59"/>
        <v/>
      </c>
    </row>
    <row r="939" spans="2:12" x14ac:dyDescent="0.35">
      <c r="B939" s="12"/>
      <c r="C939" s="11"/>
      <c r="D939" s="11"/>
      <c r="E939" s="11"/>
      <c r="F939" s="1" t="str">
        <f t="shared" si="56"/>
        <v/>
      </c>
      <c r="G939" s="1" t="str">
        <f t="shared" si="57"/>
        <v/>
      </c>
      <c r="H939" s="1" t="str">
        <f t="shared" si="58"/>
        <v/>
      </c>
      <c r="I939" s="1" t="str">
        <f>IF($L939="","",INDEX(Ref_AccountRules,$L939,3))</f>
        <v/>
      </c>
      <c r="J939" s="1" t="str">
        <f>IF($L939="","",INDEX(Ref_AccountRules,$L939,4))</f>
        <v/>
      </c>
      <c r="K939" s="1" t="str">
        <f>IF($L939="","",INDEX(Ref_AccountRules,$L939,5))</f>
        <v/>
      </c>
      <c r="L939" s="1" t="str">
        <f t="shared" si="59"/>
        <v/>
      </c>
    </row>
    <row r="940" spans="2:12" x14ac:dyDescent="0.35">
      <c r="B940" s="12"/>
      <c r="C940" s="11"/>
      <c r="D940" s="11"/>
      <c r="E940" s="11"/>
      <c r="F940" s="1" t="str">
        <f t="shared" si="56"/>
        <v/>
      </c>
      <c r="G940" s="1" t="str">
        <f t="shared" si="57"/>
        <v/>
      </c>
      <c r="H940" s="1" t="str">
        <f t="shared" si="58"/>
        <v/>
      </c>
      <c r="I940" s="1" t="str">
        <f>IF($L940="","",INDEX(Ref_AccountRules,$L940,3))</f>
        <v/>
      </c>
      <c r="J940" s="1" t="str">
        <f>IF($L940="","",INDEX(Ref_AccountRules,$L940,4))</f>
        <v/>
      </c>
      <c r="K940" s="1" t="str">
        <f>IF($L940="","",INDEX(Ref_AccountRules,$L940,5))</f>
        <v/>
      </c>
      <c r="L940" s="1" t="str">
        <f t="shared" si="59"/>
        <v/>
      </c>
    </row>
    <row r="941" spans="2:12" x14ac:dyDescent="0.35">
      <c r="B941" s="12"/>
      <c r="C941" s="11"/>
      <c r="D941" s="11"/>
      <c r="E941" s="11"/>
      <c r="F941" s="1" t="str">
        <f t="shared" si="56"/>
        <v/>
      </c>
      <c r="G941" s="1" t="str">
        <f t="shared" si="57"/>
        <v/>
      </c>
      <c r="H941" s="1" t="str">
        <f t="shared" si="58"/>
        <v/>
      </c>
      <c r="I941" s="1" t="str">
        <f>IF($L941="","",INDEX(Ref_AccountRules,$L941,3))</f>
        <v/>
      </c>
      <c r="J941" s="1" t="str">
        <f>IF($L941="","",INDEX(Ref_AccountRules,$L941,4))</f>
        <v/>
      </c>
      <c r="K941" s="1" t="str">
        <f>IF($L941="","",INDEX(Ref_AccountRules,$L941,5))</f>
        <v/>
      </c>
      <c r="L941" s="1" t="str">
        <f t="shared" si="59"/>
        <v/>
      </c>
    </row>
    <row r="942" spans="2:12" x14ac:dyDescent="0.35">
      <c r="B942" s="12"/>
      <c r="C942" s="11"/>
      <c r="D942" s="11"/>
      <c r="E942" s="11"/>
      <c r="F942" s="1" t="str">
        <f t="shared" si="56"/>
        <v/>
      </c>
      <c r="G942" s="1" t="str">
        <f t="shared" si="57"/>
        <v/>
      </c>
      <c r="H942" s="1" t="str">
        <f t="shared" si="58"/>
        <v/>
      </c>
      <c r="I942" s="1" t="str">
        <f>IF($L942="","",INDEX(Ref_AccountRules,$L942,3))</f>
        <v/>
      </c>
      <c r="J942" s="1" t="str">
        <f>IF($L942="","",INDEX(Ref_AccountRules,$L942,4))</f>
        <v/>
      </c>
      <c r="K942" s="1" t="str">
        <f>IF($L942="","",INDEX(Ref_AccountRules,$L942,5))</f>
        <v/>
      </c>
      <c r="L942" s="1" t="str">
        <f t="shared" si="59"/>
        <v/>
      </c>
    </row>
    <row r="943" spans="2:12" x14ac:dyDescent="0.35">
      <c r="B943" s="12"/>
      <c r="C943" s="11"/>
      <c r="D943" s="11"/>
      <c r="E943" s="11"/>
      <c r="F943" s="1" t="str">
        <f t="shared" si="56"/>
        <v/>
      </c>
      <c r="G943" s="1" t="str">
        <f t="shared" si="57"/>
        <v/>
      </c>
      <c r="H943" s="1" t="str">
        <f t="shared" si="58"/>
        <v/>
      </c>
      <c r="I943" s="1" t="str">
        <f>IF($L943="","",INDEX(Ref_AccountRules,$L943,3))</f>
        <v/>
      </c>
      <c r="J943" s="1" t="str">
        <f>IF($L943="","",INDEX(Ref_AccountRules,$L943,4))</f>
        <v/>
      </c>
      <c r="K943" s="1" t="str">
        <f>IF($L943="","",INDEX(Ref_AccountRules,$L943,5))</f>
        <v/>
      </c>
      <c r="L943" s="1" t="str">
        <f t="shared" si="59"/>
        <v/>
      </c>
    </row>
    <row r="944" spans="2:12" x14ac:dyDescent="0.35">
      <c r="B944" s="12"/>
      <c r="C944" s="11"/>
      <c r="D944" s="11"/>
      <c r="E944" s="11"/>
      <c r="F944" s="1" t="str">
        <f t="shared" si="56"/>
        <v/>
      </c>
      <c r="G944" s="1" t="str">
        <f t="shared" si="57"/>
        <v/>
      </c>
      <c r="H944" s="1" t="str">
        <f t="shared" si="58"/>
        <v/>
      </c>
      <c r="I944" s="1" t="str">
        <f>IF($L944="","",INDEX(Ref_AccountRules,$L944,3))</f>
        <v/>
      </c>
      <c r="J944" s="1" t="str">
        <f>IF($L944="","",INDEX(Ref_AccountRules,$L944,4))</f>
        <v/>
      </c>
      <c r="K944" s="1" t="str">
        <f>IF($L944="","",INDEX(Ref_AccountRules,$L944,5))</f>
        <v/>
      </c>
      <c r="L944" s="1" t="str">
        <f t="shared" si="59"/>
        <v/>
      </c>
    </row>
    <row r="945" spans="2:12" x14ac:dyDescent="0.35">
      <c r="B945" s="12"/>
      <c r="C945" s="11"/>
      <c r="D945" s="11"/>
      <c r="E945" s="11"/>
      <c r="F945" s="1" t="str">
        <f t="shared" si="56"/>
        <v/>
      </c>
      <c r="G945" s="1" t="str">
        <f t="shared" si="57"/>
        <v/>
      </c>
      <c r="H945" s="1" t="str">
        <f t="shared" si="58"/>
        <v/>
      </c>
      <c r="I945" s="1" t="str">
        <f>IF($L945="","",INDEX(Ref_AccountRules,$L945,3))</f>
        <v/>
      </c>
      <c r="J945" s="1" t="str">
        <f>IF($L945="","",INDEX(Ref_AccountRules,$L945,4))</f>
        <v/>
      </c>
      <c r="K945" s="1" t="str">
        <f>IF($L945="","",INDEX(Ref_AccountRules,$L945,5))</f>
        <v/>
      </c>
      <c r="L945" s="1" t="str">
        <f t="shared" si="59"/>
        <v/>
      </c>
    </row>
    <row r="946" spans="2:12" x14ac:dyDescent="0.35">
      <c r="B946" s="12"/>
      <c r="C946" s="11"/>
      <c r="D946" s="11"/>
      <c r="E946" s="11"/>
      <c r="F946" s="1" t="str">
        <f t="shared" si="56"/>
        <v/>
      </c>
      <c r="G946" s="1" t="str">
        <f t="shared" si="57"/>
        <v/>
      </c>
      <c r="H946" s="1" t="str">
        <f t="shared" si="58"/>
        <v/>
      </c>
      <c r="I946" s="1" t="str">
        <f>IF($L946="","",INDEX(Ref_AccountRules,$L946,3))</f>
        <v/>
      </c>
      <c r="J946" s="1" t="str">
        <f>IF($L946="","",INDEX(Ref_AccountRules,$L946,4))</f>
        <v/>
      </c>
      <c r="K946" s="1" t="str">
        <f>IF($L946="","",INDEX(Ref_AccountRules,$L946,5))</f>
        <v/>
      </c>
      <c r="L946" s="1" t="str">
        <f t="shared" si="59"/>
        <v/>
      </c>
    </row>
    <row r="947" spans="2:12" x14ac:dyDescent="0.35">
      <c r="B947" s="12"/>
      <c r="C947" s="11"/>
      <c r="D947" s="11"/>
      <c r="E947" s="11"/>
      <c r="F947" s="1" t="str">
        <f t="shared" si="56"/>
        <v/>
      </c>
      <c r="G947" s="1" t="str">
        <f t="shared" si="57"/>
        <v/>
      </c>
      <c r="H947" s="1" t="str">
        <f t="shared" si="58"/>
        <v/>
      </c>
      <c r="I947" s="1" t="str">
        <f>IF($L947="","",INDEX(Ref_AccountRules,$L947,3))</f>
        <v/>
      </c>
      <c r="J947" s="1" t="str">
        <f>IF($L947="","",INDEX(Ref_AccountRules,$L947,4))</f>
        <v/>
      </c>
      <c r="K947" s="1" t="str">
        <f>IF($L947="","",INDEX(Ref_AccountRules,$L947,5))</f>
        <v/>
      </c>
      <c r="L947" s="1" t="str">
        <f t="shared" si="59"/>
        <v/>
      </c>
    </row>
    <row r="948" spans="2:12" x14ac:dyDescent="0.35">
      <c r="B948" s="12"/>
      <c r="C948" s="11"/>
      <c r="D948" s="11"/>
      <c r="E948" s="11"/>
      <c r="F948" s="1" t="str">
        <f t="shared" si="56"/>
        <v/>
      </c>
      <c r="G948" s="1" t="str">
        <f t="shared" si="57"/>
        <v/>
      </c>
      <c r="H948" s="1" t="str">
        <f t="shared" si="58"/>
        <v/>
      </c>
      <c r="I948" s="1" t="str">
        <f>IF($L948="","",INDEX(Ref_AccountRules,$L948,3))</f>
        <v/>
      </c>
      <c r="J948" s="1" t="str">
        <f>IF($L948="","",INDEX(Ref_AccountRules,$L948,4))</f>
        <v/>
      </c>
      <c r="K948" s="1" t="str">
        <f>IF($L948="","",INDEX(Ref_AccountRules,$L948,5))</f>
        <v/>
      </c>
      <c r="L948" s="1" t="str">
        <f t="shared" si="59"/>
        <v/>
      </c>
    </row>
    <row r="949" spans="2:12" x14ac:dyDescent="0.35">
      <c r="B949" s="12"/>
      <c r="C949" s="11"/>
      <c r="D949" s="11"/>
      <c r="E949" s="11"/>
      <c r="F949" s="1" t="str">
        <f t="shared" si="56"/>
        <v/>
      </c>
      <c r="G949" s="1" t="str">
        <f t="shared" si="57"/>
        <v/>
      </c>
      <c r="H949" s="1" t="str">
        <f t="shared" si="58"/>
        <v/>
      </c>
      <c r="I949" s="1" t="str">
        <f>IF($L949="","",INDEX(Ref_AccountRules,$L949,3))</f>
        <v/>
      </c>
      <c r="J949" s="1" t="str">
        <f>IF($L949="","",INDEX(Ref_AccountRules,$L949,4))</f>
        <v/>
      </c>
      <c r="K949" s="1" t="str">
        <f>IF($L949="","",INDEX(Ref_AccountRules,$L949,5))</f>
        <v/>
      </c>
      <c r="L949" s="1" t="str">
        <f t="shared" si="59"/>
        <v/>
      </c>
    </row>
    <row r="950" spans="2:12" x14ac:dyDescent="0.35">
      <c r="B950" s="12"/>
      <c r="C950" s="11"/>
      <c r="D950" s="11"/>
      <c r="E950" s="11"/>
      <c r="F950" s="1" t="str">
        <f t="shared" si="56"/>
        <v/>
      </c>
      <c r="G950" s="1" t="str">
        <f t="shared" si="57"/>
        <v/>
      </c>
      <c r="H950" s="1" t="str">
        <f t="shared" si="58"/>
        <v/>
      </c>
      <c r="I950" s="1" t="str">
        <f>IF($L950="","",INDEX(Ref_AccountRules,$L950,3))</f>
        <v/>
      </c>
      <c r="J950" s="1" t="str">
        <f>IF($L950="","",INDEX(Ref_AccountRules,$L950,4))</f>
        <v/>
      </c>
      <c r="K950" s="1" t="str">
        <f>IF($L950="","",INDEX(Ref_AccountRules,$L950,5))</f>
        <v/>
      </c>
      <c r="L950" s="1" t="str">
        <f t="shared" si="59"/>
        <v/>
      </c>
    </row>
    <row r="951" spans="2:12" x14ac:dyDescent="0.35">
      <c r="B951" s="12"/>
      <c r="C951" s="11"/>
      <c r="D951" s="11"/>
      <c r="E951" s="11"/>
      <c r="F951" s="1" t="str">
        <f t="shared" si="56"/>
        <v/>
      </c>
      <c r="G951" s="1" t="str">
        <f t="shared" si="57"/>
        <v/>
      </c>
      <c r="H951" s="1" t="str">
        <f t="shared" si="58"/>
        <v/>
      </c>
      <c r="I951" s="1" t="str">
        <f>IF($L951="","",INDEX(Ref_AccountRules,$L951,3))</f>
        <v/>
      </c>
      <c r="J951" s="1" t="str">
        <f>IF($L951="","",INDEX(Ref_AccountRules,$L951,4))</f>
        <v/>
      </c>
      <c r="K951" s="1" t="str">
        <f>IF($L951="","",INDEX(Ref_AccountRules,$L951,5))</f>
        <v/>
      </c>
      <c r="L951" s="1" t="str">
        <f t="shared" si="59"/>
        <v/>
      </c>
    </row>
    <row r="952" spans="2:12" x14ac:dyDescent="0.35">
      <c r="B952" s="12"/>
      <c r="C952" s="11"/>
      <c r="D952" s="11"/>
      <c r="E952" s="11"/>
      <c r="F952" s="1" t="str">
        <f t="shared" si="56"/>
        <v/>
      </c>
      <c r="G952" s="1" t="str">
        <f t="shared" si="57"/>
        <v/>
      </c>
      <c r="H952" s="1" t="str">
        <f t="shared" si="58"/>
        <v/>
      </c>
      <c r="I952" s="1" t="str">
        <f>IF($L952="","",INDEX(Ref_AccountRules,$L952,3))</f>
        <v/>
      </c>
      <c r="J952" s="1" t="str">
        <f>IF($L952="","",INDEX(Ref_AccountRules,$L952,4))</f>
        <v/>
      </c>
      <c r="K952" s="1" t="str">
        <f>IF($L952="","",INDEX(Ref_AccountRules,$L952,5))</f>
        <v/>
      </c>
      <c r="L952" s="1" t="str">
        <f t="shared" si="59"/>
        <v/>
      </c>
    </row>
    <row r="953" spans="2:12" x14ac:dyDescent="0.35">
      <c r="B953" s="12"/>
      <c r="C953" s="11"/>
      <c r="D953" s="11"/>
      <c r="E953" s="11"/>
      <c r="F953" s="1" t="str">
        <f t="shared" si="56"/>
        <v/>
      </c>
      <c r="G953" s="1" t="str">
        <f t="shared" si="57"/>
        <v/>
      </c>
      <c r="H953" s="1" t="str">
        <f t="shared" si="58"/>
        <v/>
      </c>
      <c r="I953" s="1" t="str">
        <f>IF($L953="","",INDEX(Ref_AccountRules,$L953,3))</f>
        <v/>
      </c>
      <c r="J953" s="1" t="str">
        <f>IF($L953="","",INDEX(Ref_AccountRules,$L953,4))</f>
        <v/>
      </c>
      <c r="K953" s="1" t="str">
        <f>IF($L953="","",INDEX(Ref_AccountRules,$L953,5))</f>
        <v/>
      </c>
      <c r="L953" s="1" t="str">
        <f t="shared" si="59"/>
        <v/>
      </c>
    </row>
    <row r="954" spans="2:12" x14ac:dyDescent="0.35">
      <c r="B954" s="12"/>
      <c r="C954" s="11"/>
      <c r="D954" s="11"/>
      <c r="E954" s="11"/>
      <c r="F954" s="1" t="str">
        <f t="shared" si="56"/>
        <v/>
      </c>
      <c r="G954" s="1" t="str">
        <f t="shared" si="57"/>
        <v/>
      </c>
      <c r="H954" s="1" t="str">
        <f t="shared" si="58"/>
        <v/>
      </c>
      <c r="I954" s="1" t="str">
        <f>IF($L954="","",INDEX(Ref_AccountRules,$L954,3))</f>
        <v/>
      </c>
      <c r="J954" s="1" t="str">
        <f>IF($L954="","",INDEX(Ref_AccountRules,$L954,4))</f>
        <v/>
      </c>
      <c r="K954" s="1" t="str">
        <f>IF($L954="","",INDEX(Ref_AccountRules,$L954,5))</f>
        <v/>
      </c>
      <c r="L954" s="1" t="str">
        <f t="shared" si="59"/>
        <v/>
      </c>
    </row>
    <row r="955" spans="2:12" x14ac:dyDescent="0.35">
      <c r="B955" s="12"/>
      <c r="C955" s="11"/>
      <c r="D955" s="11"/>
      <c r="E955" s="11"/>
      <c r="F955" s="1" t="str">
        <f t="shared" si="56"/>
        <v/>
      </c>
      <c r="G955" s="1" t="str">
        <f t="shared" si="57"/>
        <v/>
      </c>
      <c r="H955" s="1" t="str">
        <f t="shared" si="58"/>
        <v/>
      </c>
      <c r="I955" s="1" t="str">
        <f>IF($L955="","",INDEX(Ref_AccountRules,$L955,3))</f>
        <v/>
      </c>
      <c r="J955" s="1" t="str">
        <f>IF($L955="","",INDEX(Ref_AccountRules,$L955,4))</f>
        <v/>
      </c>
      <c r="K955" s="1" t="str">
        <f>IF($L955="","",INDEX(Ref_AccountRules,$L955,5))</f>
        <v/>
      </c>
      <c r="L955" s="1" t="str">
        <f t="shared" si="59"/>
        <v/>
      </c>
    </row>
    <row r="956" spans="2:12" x14ac:dyDescent="0.35">
      <c r="B956" s="12"/>
      <c r="C956" s="11"/>
      <c r="D956" s="11"/>
      <c r="E956" s="11"/>
      <c r="F956" s="1" t="str">
        <f t="shared" si="56"/>
        <v/>
      </c>
      <c r="G956" s="1" t="str">
        <f t="shared" si="57"/>
        <v/>
      </c>
      <c r="H956" s="1" t="str">
        <f t="shared" si="58"/>
        <v/>
      </c>
      <c r="I956" s="1" t="str">
        <f>IF($L956="","",INDEX(Ref_AccountRules,$L956,3))</f>
        <v/>
      </c>
      <c r="J956" s="1" t="str">
        <f>IF($L956="","",INDEX(Ref_AccountRules,$L956,4))</f>
        <v/>
      </c>
      <c r="K956" s="1" t="str">
        <f>IF($L956="","",INDEX(Ref_AccountRules,$L956,5))</f>
        <v/>
      </c>
      <c r="L956" s="1" t="str">
        <f t="shared" si="59"/>
        <v/>
      </c>
    </row>
    <row r="957" spans="2:12" x14ac:dyDescent="0.35">
      <c r="B957" s="12"/>
      <c r="C957" s="11"/>
      <c r="D957" s="11"/>
      <c r="E957" s="11"/>
      <c r="F957" s="1" t="str">
        <f t="shared" si="56"/>
        <v/>
      </c>
      <c r="G957" s="1" t="str">
        <f t="shared" si="57"/>
        <v/>
      </c>
      <c r="H957" s="1" t="str">
        <f t="shared" si="58"/>
        <v/>
      </c>
      <c r="I957" s="1" t="str">
        <f>IF($L957="","",INDEX(Ref_AccountRules,$L957,3))</f>
        <v/>
      </c>
      <c r="J957" s="1" t="str">
        <f>IF($L957="","",INDEX(Ref_AccountRules,$L957,4))</f>
        <v/>
      </c>
      <c r="K957" s="1" t="str">
        <f>IF($L957="","",INDEX(Ref_AccountRules,$L957,5))</f>
        <v/>
      </c>
      <c r="L957" s="1" t="str">
        <f t="shared" si="59"/>
        <v/>
      </c>
    </row>
    <row r="958" spans="2:12" x14ac:dyDescent="0.35">
      <c r="B958" s="12"/>
      <c r="C958" s="11"/>
      <c r="D958" s="11"/>
      <c r="E958" s="11"/>
      <c r="F958" s="1" t="str">
        <f t="shared" si="56"/>
        <v/>
      </c>
      <c r="G958" s="1" t="str">
        <f t="shared" si="57"/>
        <v/>
      </c>
      <c r="H958" s="1" t="str">
        <f t="shared" si="58"/>
        <v/>
      </c>
      <c r="I958" s="1" t="str">
        <f>IF($L958="","",INDEX(Ref_AccountRules,$L958,3))</f>
        <v/>
      </c>
      <c r="J958" s="1" t="str">
        <f>IF($L958="","",INDEX(Ref_AccountRules,$L958,4))</f>
        <v/>
      </c>
      <c r="K958" s="1" t="str">
        <f>IF($L958="","",INDEX(Ref_AccountRules,$L958,5))</f>
        <v/>
      </c>
      <c r="L958" s="1" t="str">
        <f t="shared" si="59"/>
        <v/>
      </c>
    </row>
    <row r="959" spans="2:12" x14ac:dyDescent="0.35">
      <c r="B959" s="12"/>
      <c r="C959" s="11"/>
      <c r="D959" s="11"/>
      <c r="E959" s="11"/>
      <c r="F959" s="1" t="str">
        <f t="shared" si="56"/>
        <v/>
      </c>
      <c r="G959" s="1" t="str">
        <f t="shared" si="57"/>
        <v/>
      </c>
      <c r="H959" s="1" t="str">
        <f t="shared" si="58"/>
        <v/>
      </c>
      <c r="I959" s="1" t="str">
        <f>IF($L959="","",INDEX(Ref_AccountRules,$L959,3))</f>
        <v/>
      </c>
      <c r="J959" s="1" t="str">
        <f>IF($L959="","",INDEX(Ref_AccountRules,$L959,4))</f>
        <v/>
      </c>
      <c r="K959" s="1" t="str">
        <f>IF($L959="","",INDEX(Ref_AccountRules,$L959,5))</f>
        <v/>
      </c>
      <c r="L959" s="1" t="str">
        <f t="shared" si="59"/>
        <v/>
      </c>
    </row>
    <row r="960" spans="2:12" x14ac:dyDescent="0.35">
      <c r="B960" s="12"/>
      <c r="C960" s="11"/>
      <c r="D960" s="11"/>
      <c r="E960" s="11"/>
      <c r="F960" s="1" t="str">
        <f t="shared" si="56"/>
        <v/>
      </c>
      <c r="G960" s="1" t="str">
        <f t="shared" si="57"/>
        <v/>
      </c>
      <c r="H960" s="1" t="str">
        <f t="shared" si="58"/>
        <v/>
      </c>
      <c r="I960" s="1" t="str">
        <f>IF($L960="","",INDEX(Ref_AccountRules,$L960,3))</f>
        <v/>
      </c>
      <c r="J960" s="1" t="str">
        <f>IF($L960="","",INDEX(Ref_AccountRules,$L960,4))</f>
        <v/>
      </c>
      <c r="K960" s="1" t="str">
        <f>IF($L960="","",INDEX(Ref_AccountRules,$L960,5))</f>
        <v/>
      </c>
      <c r="L960" s="1" t="str">
        <f t="shared" si="59"/>
        <v/>
      </c>
    </row>
    <row r="961" spans="2:12" x14ac:dyDescent="0.35">
      <c r="B961" s="12"/>
      <c r="C961" s="11"/>
      <c r="D961" s="11"/>
      <c r="E961" s="11"/>
      <c r="F961" s="1" t="str">
        <f t="shared" si="56"/>
        <v/>
      </c>
      <c r="G961" s="1" t="str">
        <f t="shared" si="57"/>
        <v/>
      </c>
      <c r="H961" s="1" t="str">
        <f t="shared" si="58"/>
        <v/>
      </c>
      <c r="I961" s="1" t="str">
        <f>IF($L961="","",INDEX(Ref_AccountRules,$L961,3))</f>
        <v/>
      </c>
      <c r="J961" s="1" t="str">
        <f>IF($L961="","",INDEX(Ref_AccountRules,$L961,4))</f>
        <v/>
      </c>
      <c r="K961" s="1" t="str">
        <f>IF($L961="","",INDEX(Ref_AccountRules,$L961,5))</f>
        <v/>
      </c>
      <c r="L961" s="1" t="str">
        <f t="shared" si="59"/>
        <v/>
      </c>
    </row>
    <row r="962" spans="2:12" x14ac:dyDescent="0.35">
      <c r="B962" s="12"/>
      <c r="C962" s="11"/>
      <c r="D962" s="11"/>
      <c r="E962" s="11"/>
      <c r="F962" s="1" t="str">
        <f t="shared" si="56"/>
        <v/>
      </c>
      <c r="G962" s="1" t="str">
        <f t="shared" si="57"/>
        <v/>
      </c>
      <c r="H962" s="1" t="str">
        <f t="shared" si="58"/>
        <v/>
      </c>
      <c r="I962" s="1" t="str">
        <f>IF($L962="","",INDEX(Ref_AccountRules,$L962,3))</f>
        <v/>
      </c>
      <c r="J962" s="1" t="str">
        <f>IF($L962="","",INDEX(Ref_AccountRules,$L962,4))</f>
        <v/>
      </c>
      <c r="K962" s="1" t="str">
        <f>IF($L962="","",INDEX(Ref_AccountRules,$L962,5))</f>
        <v/>
      </c>
      <c r="L962" s="1" t="str">
        <f t="shared" si="59"/>
        <v/>
      </c>
    </row>
    <row r="963" spans="2:12" x14ac:dyDescent="0.35">
      <c r="B963" s="12"/>
      <c r="C963" s="11"/>
      <c r="D963" s="11"/>
      <c r="E963" s="11"/>
      <c r="F963" s="1" t="str">
        <f t="shared" si="56"/>
        <v/>
      </c>
      <c r="G963" s="1" t="str">
        <f t="shared" si="57"/>
        <v/>
      </c>
      <c r="H963" s="1" t="str">
        <f t="shared" si="58"/>
        <v/>
      </c>
      <c r="I963" s="1" t="str">
        <f>IF($L963="","",INDEX(Ref_AccountRules,$L963,3))</f>
        <v/>
      </c>
      <c r="J963" s="1" t="str">
        <f>IF($L963="","",INDEX(Ref_AccountRules,$L963,4))</f>
        <v/>
      </c>
      <c r="K963" s="1" t="str">
        <f>IF($L963="","",INDEX(Ref_AccountRules,$L963,5))</f>
        <v/>
      </c>
      <c r="L963" s="1" t="str">
        <f t="shared" si="59"/>
        <v/>
      </c>
    </row>
    <row r="964" spans="2:12" x14ac:dyDescent="0.35">
      <c r="B964" s="12"/>
      <c r="C964" s="11"/>
      <c r="D964" s="11"/>
      <c r="E964" s="11"/>
      <c r="F964" s="1" t="str">
        <f t="shared" si="56"/>
        <v/>
      </c>
      <c r="G964" s="1" t="str">
        <f t="shared" si="57"/>
        <v/>
      </c>
      <c r="H964" s="1" t="str">
        <f t="shared" si="58"/>
        <v/>
      </c>
      <c r="I964" s="1" t="str">
        <f>IF($L964="","",INDEX(Ref_AccountRules,$L964,3))</f>
        <v/>
      </c>
      <c r="J964" s="1" t="str">
        <f>IF($L964="","",INDEX(Ref_AccountRules,$L964,4))</f>
        <v/>
      </c>
      <c r="K964" s="1" t="str">
        <f>IF($L964="","",INDEX(Ref_AccountRules,$L964,5))</f>
        <v/>
      </c>
      <c r="L964" s="1" t="str">
        <f t="shared" si="59"/>
        <v/>
      </c>
    </row>
    <row r="965" spans="2:12" x14ac:dyDescent="0.35">
      <c r="B965" s="12"/>
      <c r="C965" s="11"/>
      <c r="D965" s="11"/>
      <c r="E965" s="11"/>
      <c r="F965" s="1" t="str">
        <f t="shared" si="56"/>
        <v/>
      </c>
      <c r="G965" s="1" t="str">
        <f t="shared" si="57"/>
        <v/>
      </c>
      <c r="H965" s="1" t="str">
        <f t="shared" si="58"/>
        <v/>
      </c>
      <c r="I965" s="1" t="str">
        <f>IF($L965="","",INDEX(Ref_AccountRules,$L965,3))</f>
        <v/>
      </c>
      <c r="J965" s="1" t="str">
        <f>IF($L965="","",INDEX(Ref_AccountRules,$L965,4))</f>
        <v/>
      </c>
      <c r="K965" s="1" t="str">
        <f>IF($L965="","",INDEX(Ref_AccountRules,$L965,5))</f>
        <v/>
      </c>
      <c r="L965" s="1" t="str">
        <f t="shared" si="59"/>
        <v/>
      </c>
    </row>
    <row r="966" spans="2:12" x14ac:dyDescent="0.35">
      <c r="B966" s="12"/>
      <c r="C966" s="11"/>
      <c r="D966" s="11"/>
      <c r="E966" s="11"/>
      <c r="F966" s="1" t="str">
        <f t="shared" si="56"/>
        <v/>
      </c>
      <c r="G966" s="1" t="str">
        <f t="shared" si="57"/>
        <v/>
      </c>
      <c r="H966" s="1" t="str">
        <f t="shared" si="58"/>
        <v/>
      </c>
      <c r="I966" s="1" t="str">
        <f>IF($L966="","",INDEX(Ref_AccountRules,$L966,3))</f>
        <v/>
      </c>
      <c r="J966" s="1" t="str">
        <f>IF($L966="","",INDEX(Ref_AccountRules,$L966,4))</f>
        <v/>
      </c>
      <c r="K966" s="1" t="str">
        <f>IF($L966="","",INDEX(Ref_AccountRules,$L966,5))</f>
        <v/>
      </c>
      <c r="L966" s="1" t="str">
        <f t="shared" si="59"/>
        <v/>
      </c>
    </row>
    <row r="967" spans="2:12" x14ac:dyDescent="0.35">
      <c r="B967" s="12"/>
      <c r="C967" s="11"/>
      <c r="D967" s="11"/>
      <c r="E967" s="11"/>
      <c r="F967" s="1" t="str">
        <f t="shared" si="56"/>
        <v/>
      </c>
      <c r="G967" s="1" t="str">
        <f t="shared" si="57"/>
        <v/>
      </c>
      <c r="H967" s="1" t="str">
        <f t="shared" si="58"/>
        <v/>
      </c>
      <c r="I967" s="1" t="str">
        <f>IF($L967="","",INDEX(Ref_AccountRules,$L967,3))</f>
        <v/>
      </c>
      <c r="J967" s="1" t="str">
        <f>IF($L967="","",INDEX(Ref_AccountRules,$L967,4))</f>
        <v/>
      </c>
      <c r="K967" s="1" t="str">
        <f>IF($L967="","",INDEX(Ref_AccountRules,$L967,5))</f>
        <v/>
      </c>
      <c r="L967" s="1" t="str">
        <f t="shared" si="59"/>
        <v/>
      </c>
    </row>
    <row r="968" spans="2:12" x14ac:dyDescent="0.35">
      <c r="B968" s="12"/>
      <c r="C968" s="11"/>
      <c r="D968" s="11"/>
      <c r="E968" s="11"/>
      <c r="F968" s="1" t="str">
        <f t="shared" si="56"/>
        <v/>
      </c>
      <c r="G968" s="1" t="str">
        <f t="shared" si="57"/>
        <v/>
      </c>
      <c r="H968" s="1" t="str">
        <f t="shared" si="58"/>
        <v/>
      </c>
      <c r="I968" s="1" t="str">
        <f>IF($L968="","",INDEX(Ref_AccountRules,$L968,3))</f>
        <v/>
      </c>
      <c r="J968" s="1" t="str">
        <f>IF($L968="","",INDEX(Ref_AccountRules,$L968,4))</f>
        <v/>
      </c>
      <c r="K968" s="1" t="str">
        <f>IF($L968="","",INDEX(Ref_AccountRules,$L968,5))</f>
        <v/>
      </c>
      <c r="L968" s="1" t="str">
        <f t="shared" si="59"/>
        <v/>
      </c>
    </row>
    <row r="969" spans="2:12" x14ac:dyDescent="0.35">
      <c r="B969" s="12"/>
      <c r="C969" s="11"/>
      <c r="D969" s="11"/>
      <c r="E969" s="11"/>
      <c r="F969" s="1" t="str">
        <f t="shared" si="56"/>
        <v/>
      </c>
      <c r="G969" s="1" t="str">
        <f t="shared" si="57"/>
        <v/>
      </c>
      <c r="H969" s="1" t="str">
        <f t="shared" si="58"/>
        <v/>
      </c>
      <c r="I969" s="1" t="str">
        <f>IF($L969="","",INDEX(Ref_AccountRules,$L969,3))</f>
        <v/>
      </c>
      <c r="J969" s="1" t="str">
        <f>IF($L969="","",INDEX(Ref_AccountRules,$L969,4))</f>
        <v/>
      </c>
      <c r="K969" s="1" t="str">
        <f>IF($L969="","",INDEX(Ref_AccountRules,$L969,5))</f>
        <v/>
      </c>
      <c r="L969" s="1" t="str">
        <f t="shared" si="59"/>
        <v/>
      </c>
    </row>
    <row r="970" spans="2:12" x14ac:dyDescent="0.35">
      <c r="B970" s="12"/>
      <c r="C970" s="11"/>
      <c r="D970" s="11"/>
      <c r="E970" s="11"/>
      <c r="F970" s="1" t="str">
        <f t="shared" si="56"/>
        <v/>
      </c>
      <c r="G970" s="1" t="str">
        <f t="shared" si="57"/>
        <v/>
      </c>
      <c r="H970" s="1" t="str">
        <f t="shared" si="58"/>
        <v/>
      </c>
      <c r="I970" s="1" t="str">
        <f>IF($L970="","",INDEX(Ref_AccountRules,$L970,3))</f>
        <v/>
      </c>
      <c r="J970" s="1" t="str">
        <f>IF($L970="","",INDEX(Ref_AccountRules,$L970,4))</f>
        <v/>
      </c>
      <c r="K970" s="1" t="str">
        <f>IF($L970="","",INDEX(Ref_AccountRules,$L970,5))</f>
        <v/>
      </c>
      <c r="L970" s="1" t="str">
        <f t="shared" si="59"/>
        <v/>
      </c>
    </row>
    <row r="971" spans="2:12" x14ac:dyDescent="0.35">
      <c r="B971" s="12"/>
      <c r="C971" s="11"/>
      <c r="D971" s="11"/>
      <c r="E971" s="11"/>
      <c r="F971" s="1" t="str">
        <f t="shared" ref="F971:F1009" si="60">IF($B971="","",E971-D971)</f>
        <v/>
      </c>
      <c r="G971" s="1" t="str">
        <f t="shared" ref="G971:G1009" si="61">IF($B971="","",IF(D971=0,0,(E971-D971)/ABS(D971)*100))</f>
        <v/>
      </c>
      <c r="H971" s="1" t="str">
        <f t="shared" ref="H971:H1009" si="62">IF($B971="","",IF(LEFT($B971,6)="606880","emballages",IF(LEFT($B971,4)="6068","emballages",IF(LEFT($B971,3)="606","energie_dechets",IF(LEFT($B971,3)="164","tresorerie_financement",IF(LEFT($B971,2)="20","immobilisations",IF(LEFT($B971,2)="21","immobilisations",IF(LEFT($B971,2)="22","immobilisations",IF(LEFT($B971,2)="23","immobilisations",IF(LEFT($B971,2)="28","immobilisations",IF(LEFT($B971,2)="40","fournisseurs",IF(LEFT($B971,2)="41","clients",IF(LEFT($B971,2)="32","stocks",IF(LEFT($B971,2)="60","charges",IF(LEFT($B971,2)="61","services",IF(LEFT($B971,2)="62","personnel",IF(LEFT($B971,2)="63","fiscal",IF(LEFT($B971,2)="64","financier","autres"))))))))))))))))))</f>
        <v/>
      </c>
      <c r="I971" s="1" t="str">
        <f>IF($L971="","",INDEX(Ref_AccountRules,$L971,3))</f>
        <v/>
      </c>
      <c r="J971" s="1" t="str">
        <f>IF($L971="","",INDEX(Ref_AccountRules,$L971,4))</f>
        <v/>
      </c>
      <c r="K971" s="1" t="str">
        <f>IF($L971="","",INDEX(Ref_AccountRules,$L971,5))</f>
        <v/>
      </c>
      <c r="L971" s="1" t="str">
        <f t="shared" ref="L971:L1009" si="63">IF($B971="","",IF(LEFT($B971,3)="215",1,IF(LEFT($B971,4)="2183",2,IF(LEFT($B971,3)="401",3,IF(LEFT($B971,3)="411",4,IF(LEFT($B971,3)="322",5,IF(LEFT($B971,4)="3220",6,IF(LEFT($B971,5)="32200",7,IF(LEFT($B971,3)="625",8,IF(LEFT($B971,3)="606",9,IF(LEFT($B971,3)="164",10,IF(LEFT($B971,6)="606880",11,""))))))))))))</f>
        <v/>
      </c>
    </row>
    <row r="972" spans="2:12" x14ac:dyDescent="0.35">
      <c r="B972" s="12"/>
      <c r="C972" s="11"/>
      <c r="D972" s="11"/>
      <c r="E972" s="11"/>
      <c r="F972" s="1" t="str">
        <f t="shared" si="60"/>
        <v/>
      </c>
      <c r="G972" s="1" t="str">
        <f t="shared" si="61"/>
        <v/>
      </c>
      <c r="H972" s="1" t="str">
        <f t="shared" si="62"/>
        <v/>
      </c>
      <c r="I972" s="1" t="str">
        <f>IF($L972="","",INDEX(Ref_AccountRules,$L972,3))</f>
        <v/>
      </c>
      <c r="J972" s="1" t="str">
        <f>IF($L972="","",INDEX(Ref_AccountRules,$L972,4))</f>
        <v/>
      </c>
      <c r="K972" s="1" t="str">
        <f>IF($L972="","",INDEX(Ref_AccountRules,$L972,5))</f>
        <v/>
      </c>
      <c r="L972" s="1" t="str">
        <f t="shared" si="63"/>
        <v/>
      </c>
    </row>
    <row r="973" spans="2:12" x14ac:dyDescent="0.35">
      <c r="B973" s="12"/>
      <c r="C973" s="11"/>
      <c r="D973" s="11"/>
      <c r="E973" s="11"/>
      <c r="F973" s="1" t="str">
        <f t="shared" si="60"/>
        <v/>
      </c>
      <c r="G973" s="1" t="str">
        <f t="shared" si="61"/>
        <v/>
      </c>
      <c r="H973" s="1" t="str">
        <f t="shared" si="62"/>
        <v/>
      </c>
      <c r="I973" s="1" t="str">
        <f>IF($L973="","",INDEX(Ref_AccountRules,$L973,3))</f>
        <v/>
      </c>
      <c r="J973" s="1" t="str">
        <f>IF($L973="","",INDEX(Ref_AccountRules,$L973,4))</f>
        <v/>
      </c>
      <c r="K973" s="1" t="str">
        <f>IF($L973="","",INDEX(Ref_AccountRules,$L973,5))</f>
        <v/>
      </c>
      <c r="L973" s="1" t="str">
        <f t="shared" si="63"/>
        <v/>
      </c>
    </row>
    <row r="974" spans="2:12" x14ac:dyDescent="0.35">
      <c r="B974" s="12"/>
      <c r="C974" s="11"/>
      <c r="D974" s="11"/>
      <c r="E974" s="11"/>
      <c r="F974" s="1" t="str">
        <f t="shared" si="60"/>
        <v/>
      </c>
      <c r="G974" s="1" t="str">
        <f t="shared" si="61"/>
        <v/>
      </c>
      <c r="H974" s="1" t="str">
        <f t="shared" si="62"/>
        <v/>
      </c>
      <c r="I974" s="1" t="str">
        <f>IF($L974="","",INDEX(Ref_AccountRules,$L974,3))</f>
        <v/>
      </c>
      <c r="J974" s="1" t="str">
        <f>IF($L974="","",INDEX(Ref_AccountRules,$L974,4))</f>
        <v/>
      </c>
      <c r="K974" s="1" t="str">
        <f>IF($L974="","",INDEX(Ref_AccountRules,$L974,5))</f>
        <v/>
      </c>
      <c r="L974" s="1" t="str">
        <f t="shared" si="63"/>
        <v/>
      </c>
    </row>
    <row r="975" spans="2:12" x14ac:dyDescent="0.35">
      <c r="B975" s="12"/>
      <c r="C975" s="11"/>
      <c r="D975" s="11"/>
      <c r="E975" s="11"/>
      <c r="F975" s="1" t="str">
        <f t="shared" si="60"/>
        <v/>
      </c>
      <c r="G975" s="1" t="str">
        <f t="shared" si="61"/>
        <v/>
      </c>
      <c r="H975" s="1" t="str">
        <f t="shared" si="62"/>
        <v/>
      </c>
      <c r="I975" s="1" t="str">
        <f>IF($L975="","",INDEX(Ref_AccountRules,$L975,3))</f>
        <v/>
      </c>
      <c r="J975" s="1" t="str">
        <f>IF($L975="","",INDEX(Ref_AccountRules,$L975,4))</f>
        <v/>
      </c>
      <c r="K975" s="1" t="str">
        <f>IF($L975="","",INDEX(Ref_AccountRules,$L975,5))</f>
        <v/>
      </c>
      <c r="L975" s="1" t="str">
        <f t="shared" si="63"/>
        <v/>
      </c>
    </row>
    <row r="976" spans="2:12" x14ac:dyDescent="0.35">
      <c r="B976" s="12"/>
      <c r="C976" s="11"/>
      <c r="D976" s="11"/>
      <c r="E976" s="11"/>
      <c r="F976" s="1" t="str">
        <f t="shared" si="60"/>
        <v/>
      </c>
      <c r="G976" s="1" t="str">
        <f t="shared" si="61"/>
        <v/>
      </c>
      <c r="H976" s="1" t="str">
        <f t="shared" si="62"/>
        <v/>
      </c>
      <c r="I976" s="1" t="str">
        <f>IF($L976="","",INDEX(Ref_AccountRules,$L976,3))</f>
        <v/>
      </c>
      <c r="J976" s="1" t="str">
        <f>IF($L976="","",INDEX(Ref_AccountRules,$L976,4))</f>
        <v/>
      </c>
      <c r="K976" s="1" t="str">
        <f>IF($L976="","",INDEX(Ref_AccountRules,$L976,5))</f>
        <v/>
      </c>
      <c r="L976" s="1" t="str">
        <f t="shared" si="63"/>
        <v/>
      </c>
    </row>
    <row r="977" spans="2:12" x14ac:dyDescent="0.35">
      <c r="B977" s="12"/>
      <c r="C977" s="11"/>
      <c r="D977" s="11"/>
      <c r="E977" s="11"/>
      <c r="F977" s="1" t="str">
        <f t="shared" si="60"/>
        <v/>
      </c>
      <c r="G977" s="1" t="str">
        <f t="shared" si="61"/>
        <v/>
      </c>
      <c r="H977" s="1" t="str">
        <f t="shared" si="62"/>
        <v/>
      </c>
      <c r="I977" s="1" t="str">
        <f>IF($L977="","",INDEX(Ref_AccountRules,$L977,3))</f>
        <v/>
      </c>
      <c r="J977" s="1" t="str">
        <f>IF($L977="","",INDEX(Ref_AccountRules,$L977,4))</f>
        <v/>
      </c>
      <c r="K977" s="1" t="str">
        <f>IF($L977="","",INDEX(Ref_AccountRules,$L977,5))</f>
        <v/>
      </c>
      <c r="L977" s="1" t="str">
        <f t="shared" si="63"/>
        <v/>
      </c>
    </row>
    <row r="978" spans="2:12" x14ac:dyDescent="0.35">
      <c r="B978" s="12"/>
      <c r="C978" s="11"/>
      <c r="D978" s="11"/>
      <c r="E978" s="11"/>
      <c r="F978" s="1" t="str">
        <f t="shared" si="60"/>
        <v/>
      </c>
      <c r="G978" s="1" t="str">
        <f t="shared" si="61"/>
        <v/>
      </c>
      <c r="H978" s="1" t="str">
        <f t="shared" si="62"/>
        <v/>
      </c>
      <c r="I978" s="1" t="str">
        <f>IF($L978="","",INDEX(Ref_AccountRules,$L978,3))</f>
        <v/>
      </c>
      <c r="J978" s="1" t="str">
        <f>IF($L978="","",INDEX(Ref_AccountRules,$L978,4))</f>
        <v/>
      </c>
      <c r="K978" s="1" t="str">
        <f>IF($L978="","",INDEX(Ref_AccountRules,$L978,5))</f>
        <v/>
      </c>
      <c r="L978" s="1" t="str">
        <f t="shared" si="63"/>
        <v/>
      </c>
    </row>
    <row r="979" spans="2:12" x14ac:dyDescent="0.35">
      <c r="B979" s="12"/>
      <c r="C979" s="11"/>
      <c r="D979" s="11"/>
      <c r="E979" s="11"/>
      <c r="F979" s="1" t="str">
        <f t="shared" si="60"/>
        <v/>
      </c>
      <c r="G979" s="1" t="str">
        <f t="shared" si="61"/>
        <v/>
      </c>
      <c r="H979" s="1" t="str">
        <f t="shared" si="62"/>
        <v/>
      </c>
      <c r="I979" s="1" t="str">
        <f>IF($L979="","",INDEX(Ref_AccountRules,$L979,3))</f>
        <v/>
      </c>
      <c r="J979" s="1" t="str">
        <f>IF($L979="","",INDEX(Ref_AccountRules,$L979,4))</f>
        <v/>
      </c>
      <c r="K979" s="1" t="str">
        <f>IF($L979="","",INDEX(Ref_AccountRules,$L979,5))</f>
        <v/>
      </c>
      <c r="L979" s="1" t="str">
        <f t="shared" si="63"/>
        <v/>
      </c>
    </row>
    <row r="980" spans="2:12" x14ac:dyDescent="0.35">
      <c r="B980" s="12"/>
      <c r="C980" s="11"/>
      <c r="D980" s="11"/>
      <c r="E980" s="11"/>
      <c r="F980" s="1" t="str">
        <f t="shared" si="60"/>
        <v/>
      </c>
      <c r="G980" s="1" t="str">
        <f t="shared" si="61"/>
        <v/>
      </c>
      <c r="H980" s="1" t="str">
        <f t="shared" si="62"/>
        <v/>
      </c>
      <c r="I980" s="1" t="str">
        <f>IF($L980="","",INDEX(Ref_AccountRules,$L980,3))</f>
        <v/>
      </c>
      <c r="J980" s="1" t="str">
        <f>IF($L980="","",INDEX(Ref_AccountRules,$L980,4))</f>
        <v/>
      </c>
      <c r="K980" s="1" t="str">
        <f>IF($L980="","",INDEX(Ref_AccountRules,$L980,5))</f>
        <v/>
      </c>
      <c r="L980" s="1" t="str">
        <f t="shared" si="63"/>
        <v/>
      </c>
    </row>
    <row r="981" spans="2:12" x14ac:dyDescent="0.35">
      <c r="B981" s="12"/>
      <c r="C981" s="11"/>
      <c r="D981" s="11"/>
      <c r="E981" s="11"/>
      <c r="F981" s="1" t="str">
        <f t="shared" si="60"/>
        <v/>
      </c>
      <c r="G981" s="1" t="str">
        <f t="shared" si="61"/>
        <v/>
      </c>
      <c r="H981" s="1" t="str">
        <f t="shared" si="62"/>
        <v/>
      </c>
      <c r="I981" s="1" t="str">
        <f>IF($L981="","",INDEX(Ref_AccountRules,$L981,3))</f>
        <v/>
      </c>
      <c r="J981" s="1" t="str">
        <f>IF($L981="","",INDEX(Ref_AccountRules,$L981,4))</f>
        <v/>
      </c>
      <c r="K981" s="1" t="str">
        <f>IF($L981="","",INDEX(Ref_AccountRules,$L981,5))</f>
        <v/>
      </c>
      <c r="L981" s="1" t="str">
        <f t="shared" si="63"/>
        <v/>
      </c>
    </row>
    <row r="982" spans="2:12" x14ac:dyDescent="0.35">
      <c r="B982" s="12"/>
      <c r="C982" s="11"/>
      <c r="D982" s="11"/>
      <c r="E982" s="11"/>
      <c r="F982" s="1" t="str">
        <f t="shared" si="60"/>
        <v/>
      </c>
      <c r="G982" s="1" t="str">
        <f t="shared" si="61"/>
        <v/>
      </c>
      <c r="H982" s="1" t="str">
        <f t="shared" si="62"/>
        <v/>
      </c>
      <c r="I982" s="1" t="str">
        <f>IF($L982="","",INDEX(Ref_AccountRules,$L982,3))</f>
        <v/>
      </c>
      <c r="J982" s="1" t="str">
        <f>IF($L982="","",INDEX(Ref_AccountRules,$L982,4))</f>
        <v/>
      </c>
      <c r="K982" s="1" t="str">
        <f>IF($L982="","",INDEX(Ref_AccountRules,$L982,5))</f>
        <v/>
      </c>
      <c r="L982" s="1" t="str">
        <f t="shared" si="63"/>
        <v/>
      </c>
    </row>
    <row r="983" spans="2:12" x14ac:dyDescent="0.35">
      <c r="B983" s="12"/>
      <c r="C983" s="11"/>
      <c r="D983" s="11"/>
      <c r="E983" s="11"/>
      <c r="F983" s="1" t="str">
        <f t="shared" si="60"/>
        <v/>
      </c>
      <c r="G983" s="1" t="str">
        <f t="shared" si="61"/>
        <v/>
      </c>
      <c r="H983" s="1" t="str">
        <f t="shared" si="62"/>
        <v/>
      </c>
      <c r="I983" s="1" t="str">
        <f>IF($L983="","",INDEX(Ref_AccountRules,$L983,3))</f>
        <v/>
      </c>
      <c r="J983" s="1" t="str">
        <f>IF($L983="","",INDEX(Ref_AccountRules,$L983,4))</f>
        <v/>
      </c>
      <c r="K983" s="1" t="str">
        <f>IF($L983="","",INDEX(Ref_AccountRules,$L983,5))</f>
        <v/>
      </c>
      <c r="L983" s="1" t="str">
        <f t="shared" si="63"/>
        <v/>
      </c>
    </row>
    <row r="984" spans="2:12" x14ac:dyDescent="0.35">
      <c r="B984" s="12"/>
      <c r="C984" s="11"/>
      <c r="D984" s="11"/>
      <c r="E984" s="11"/>
      <c r="F984" s="1" t="str">
        <f t="shared" si="60"/>
        <v/>
      </c>
      <c r="G984" s="1" t="str">
        <f t="shared" si="61"/>
        <v/>
      </c>
      <c r="H984" s="1" t="str">
        <f t="shared" si="62"/>
        <v/>
      </c>
      <c r="I984" s="1" t="str">
        <f>IF($L984="","",INDEX(Ref_AccountRules,$L984,3))</f>
        <v/>
      </c>
      <c r="J984" s="1" t="str">
        <f>IF($L984="","",INDEX(Ref_AccountRules,$L984,4))</f>
        <v/>
      </c>
      <c r="K984" s="1" t="str">
        <f>IF($L984="","",INDEX(Ref_AccountRules,$L984,5))</f>
        <v/>
      </c>
      <c r="L984" s="1" t="str">
        <f t="shared" si="63"/>
        <v/>
      </c>
    </row>
    <row r="985" spans="2:12" x14ac:dyDescent="0.35">
      <c r="B985" s="12"/>
      <c r="C985" s="11"/>
      <c r="D985" s="11"/>
      <c r="E985" s="11"/>
      <c r="F985" s="1" t="str">
        <f t="shared" si="60"/>
        <v/>
      </c>
      <c r="G985" s="1" t="str">
        <f t="shared" si="61"/>
        <v/>
      </c>
      <c r="H985" s="1" t="str">
        <f t="shared" si="62"/>
        <v/>
      </c>
      <c r="I985" s="1" t="str">
        <f>IF($L985="","",INDEX(Ref_AccountRules,$L985,3))</f>
        <v/>
      </c>
      <c r="J985" s="1" t="str">
        <f>IF($L985="","",INDEX(Ref_AccountRules,$L985,4))</f>
        <v/>
      </c>
      <c r="K985" s="1" t="str">
        <f>IF($L985="","",INDEX(Ref_AccountRules,$L985,5))</f>
        <v/>
      </c>
      <c r="L985" s="1" t="str">
        <f t="shared" si="63"/>
        <v/>
      </c>
    </row>
    <row r="986" spans="2:12" x14ac:dyDescent="0.35">
      <c r="B986" s="12"/>
      <c r="C986" s="11"/>
      <c r="D986" s="11"/>
      <c r="E986" s="11"/>
      <c r="F986" s="1" t="str">
        <f t="shared" si="60"/>
        <v/>
      </c>
      <c r="G986" s="1" t="str">
        <f t="shared" si="61"/>
        <v/>
      </c>
      <c r="H986" s="1" t="str">
        <f t="shared" si="62"/>
        <v/>
      </c>
      <c r="I986" s="1" t="str">
        <f>IF($L986="","",INDEX(Ref_AccountRules,$L986,3))</f>
        <v/>
      </c>
      <c r="J986" s="1" t="str">
        <f>IF($L986="","",INDEX(Ref_AccountRules,$L986,4))</f>
        <v/>
      </c>
      <c r="K986" s="1" t="str">
        <f>IF($L986="","",INDEX(Ref_AccountRules,$L986,5))</f>
        <v/>
      </c>
      <c r="L986" s="1" t="str">
        <f t="shared" si="63"/>
        <v/>
      </c>
    </row>
    <row r="987" spans="2:12" x14ac:dyDescent="0.35">
      <c r="B987" s="12"/>
      <c r="C987" s="11"/>
      <c r="D987" s="11"/>
      <c r="E987" s="11"/>
      <c r="F987" s="1" t="str">
        <f t="shared" si="60"/>
        <v/>
      </c>
      <c r="G987" s="1" t="str">
        <f t="shared" si="61"/>
        <v/>
      </c>
      <c r="H987" s="1" t="str">
        <f t="shared" si="62"/>
        <v/>
      </c>
      <c r="I987" s="1" t="str">
        <f>IF($L987="","",INDEX(Ref_AccountRules,$L987,3))</f>
        <v/>
      </c>
      <c r="J987" s="1" t="str">
        <f>IF($L987="","",INDEX(Ref_AccountRules,$L987,4))</f>
        <v/>
      </c>
      <c r="K987" s="1" t="str">
        <f>IF($L987="","",INDEX(Ref_AccountRules,$L987,5))</f>
        <v/>
      </c>
      <c r="L987" s="1" t="str">
        <f t="shared" si="63"/>
        <v/>
      </c>
    </row>
    <row r="988" spans="2:12" x14ac:dyDescent="0.35">
      <c r="B988" s="12"/>
      <c r="C988" s="11"/>
      <c r="D988" s="11"/>
      <c r="E988" s="11"/>
      <c r="F988" s="1" t="str">
        <f t="shared" si="60"/>
        <v/>
      </c>
      <c r="G988" s="1" t="str">
        <f t="shared" si="61"/>
        <v/>
      </c>
      <c r="H988" s="1" t="str">
        <f t="shared" si="62"/>
        <v/>
      </c>
      <c r="I988" s="1" t="str">
        <f>IF($L988="","",INDEX(Ref_AccountRules,$L988,3))</f>
        <v/>
      </c>
      <c r="J988" s="1" t="str">
        <f>IF($L988="","",INDEX(Ref_AccountRules,$L988,4))</f>
        <v/>
      </c>
      <c r="K988" s="1" t="str">
        <f>IF($L988="","",INDEX(Ref_AccountRules,$L988,5))</f>
        <v/>
      </c>
      <c r="L988" s="1" t="str">
        <f t="shared" si="63"/>
        <v/>
      </c>
    </row>
    <row r="989" spans="2:12" x14ac:dyDescent="0.35">
      <c r="B989" s="12"/>
      <c r="C989" s="11"/>
      <c r="D989" s="11"/>
      <c r="E989" s="11"/>
      <c r="F989" s="1" t="str">
        <f t="shared" si="60"/>
        <v/>
      </c>
      <c r="G989" s="1" t="str">
        <f t="shared" si="61"/>
        <v/>
      </c>
      <c r="H989" s="1" t="str">
        <f t="shared" si="62"/>
        <v/>
      </c>
      <c r="I989" s="1" t="str">
        <f>IF($L989="","",INDEX(Ref_AccountRules,$L989,3))</f>
        <v/>
      </c>
      <c r="J989" s="1" t="str">
        <f>IF($L989="","",INDEX(Ref_AccountRules,$L989,4))</f>
        <v/>
      </c>
      <c r="K989" s="1" t="str">
        <f>IF($L989="","",INDEX(Ref_AccountRules,$L989,5))</f>
        <v/>
      </c>
      <c r="L989" s="1" t="str">
        <f t="shared" si="63"/>
        <v/>
      </c>
    </row>
    <row r="990" spans="2:12" x14ac:dyDescent="0.35">
      <c r="B990" s="12"/>
      <c r="C990" s="11"/>
      <c r="D990" s="11"/>
      <c r="E990" s="11"/>
      <c r="F990" s="1" t="str">
        <f t="shared" si="60"/>
        <v/>
      </c>
      <c r="G990" s="1" t="str">
        <f t="shared" si="61"/>
        <v/>
      </c>
      <c r="H990" s="1" t="str">
        <f t="shared" si="62"/>
        <v/>
      </c>
      <c r="I990" s="1" t="str">
        <f>IF($L990="","",INDEX(Ref_AccountRules,$L990,3))</f>
        <v/>
      </c>
      <c r="J990" s="1" t="str">
        <f>IF($L990="","",INDEX(Ref_AccountRules,$L990,4))</f>
        <v/>
      </c>
      <c r="K990" s="1" t="str">
        <f>IF($L990="","",INDEX(Ref_AccountRules,$L990,5))</f>
        <v/>
      </c>
      <c r="L990" s="1" t="str">
        <f t="shared" si="63"/>
        <v/>
      </c>
    </row>
    <row r="991" spans="2:12" x14ac:dyDescent="0.35">
      <c r="B991" s="12"/>
      <c r="C991" s="11"/>
      <c r="D991" s="11"/>
      <c r="E991" s="11"/>
      <c r="F991" s="1" t="str">
        <f t="shared" si="60"/>
        <v/>
      </c>
      <c r="G991" s="1" t="str">
        <f t="shared" si="61"/>
        <v/>
      </c>
      <c r="H991" s="1" t="str">
        <f t="shared" si="62"/>
        <v/>
      </c>
      <c r="I991" s="1" t="str">
        <f>IF($L991="","",INDEX(Ref_AccountRules,$L991,3))</f>
        <v/>
      </c>
      <c r="J991" s="1" t="str">
        <f>IF($L991="","",INDEX(Ref_AccountRules,$L991,4))</f>
        <v/>
      </c>
      <c r="K991" s="1" t="str">
        <f>IF($L991="","",INDEX(Ref_AccountRules,$L991,5))</f>
        <v/>
      </c>
      <c r="L991" s="1" t="str">
        <f t="shared" si="63"/>
        <v/>
      </c>
    </row>
    <row r="992" spans="2:12" x14ac:dyDescent="0.35">
      <c r="B992" s="12"/>
      <c r="C992" s="11"/>
      <c r="D992" s="11"/>
      <c r="E992" s="11"/>
      <c r="F992" s="1" t="str">
        <f t="shared" si="60"/>
        <v/>
      </c>
      <c r="G992" s="1" t="str">
        <f t="shared" si="61"/>
        <v/>
      </c>
      <c r="H992" s="1" t="str">
        <f t="shared" si="62"/>
        <v/>
      </c>
      <c r="I992" s="1" t="str">
        <f>IF($L992="","",INDEX(Ref_AccountRules,$L992,3))</f>
        <v/>
      </c>
      <c r="J992" s="1" t="str">
        <f>IF($L992="","",INDEX(Ref_AccountRules,$L992,4))</f>
        <v/>
      </c>
      <c r="K992" s="1" t="str">
        <f>IF($L992="","",INDEX(Ref_AccountRules,$L992,5))</f>
        <v/>
      </c>
      <c r="L992" s="1" t="str">
        <f t="shared" si="63"/>
        <v/>
      </c>
    </row>
    <row r="993" spans="2:12" x14ac:dyDescent="0.35">
      <c r="B993" s="12"/>
      <c r="C993" s="11"/>
      <c r="D993" s="11"/>
      <c r="E993" s="11"/>
      <c r="F993" s="1" t="str">
        <f t="shared" si="60"/>
        <v/>
      </c>
      <c r="G993" s="1" t="str">
        <f t="shared" si="61"/>
        <v/>
      </c>
      <c r="H993" s="1" t="str">
        <f t="shared" si="62"/>
        <v/>
      </c>
      <c r="I993" s="1" t="str">
        <f>IF($L993="","",INDEX(Ref_AccountRules,$L993,3))</f>
        <v/>
      </c>
      <c r="J993" s="1" t="str">
        <f>IF($L993="","",INDEX(Ref_AccountRules,$L993,4))</f>
        <v/>
      </c>
      <c r="K993" s="1" t="str">
        <f>IF($L993="","",INDEX(Ref_AccountRules,$L993,5))</f>
        <v/>
      </c>
      <c r="L993" s="1" t="str">
        <f t="shared" si="63"/>
        <v/>
      </c>
    </row>
    <row r="994" spans="2:12" x14ac:dyDescent="0.35">
      <c r="B994" s="12"/>
      <c r="C994" s="11"/>
      <c r="D994" s="11"/>
      <c r="E994" s="11"/>
      <c r="F994" s="1" t="str">
        <f t="shared" si="60"/>
        <v/>
      </c>
      <c r="G994" s="1" t="str">
        <f t="shared" si="61"/>
        <v/>
      </c>
      <c r="H994" s="1" t="str">
        <f t="shared" si="62"/>
        <v/>
      </c>
      <c r="I994" s="1" t="str">
        <f>IF($L994="","",INDEX(Ref_AccountRules,$L994,3))</f>
        <v/>
      </c>
      <c r="J994" s="1" t="str">
        <f>IF($L994="","",INDEX(Ref_AccountRules,$L994,4))</f>
        <v/>
      </c>
      <c r="K994" s="1" t="str">
        <f>IF($L994="","",INDEX(Ref_AccountRules,$L994,5))</f>
        <v/>
      </c>
      <c r="L994" s="1" t="str">
        <f t="shared" si="63"/>
        <v/>
      </c>
    </row>
    <row r="995" spans="2:12" x14ac:dyDescent="0.35">
      <c r="B995" s="12"/>
      <c r="C995" s="11"/>
      <c r="D995" s="11"/>
      <c r="E995" s="11"/>
      <c r="F995" s="1" t="str">
        <f t="shared" si="60"/>
        <v/>
      </c>
      <c r="G995" s="1" t="str">
        <f t="shared" si="61"/>
        <v/>
      </c>
      <c r="H995" s="1" t="str">
        <f t="shared" si="62"/>
        <v/>
      </c>
      <c r="I995" s="1" t="str">
        <f>IF($L995="","",INDEX(Ref_AccountRules,$L995,3))</f>
        <v/>
      </c>
      <c r="J995" s="1" t="str">
        <f>IF($L995="","",INDEX(Ref_AccountRules,$L995,4))</f>
        <v/>
      </c>
      <c r="K995" s="1" t="str">
        <f>IF($L995="","",INDEX(Ref_AccountRules,$L995,5))</f>
        <v/>
      </c>
      <c r="L995" s="1" t="str">
        <f t="shared" si="63"/>
        <v/>
      </c>
    </row>
    <row r="996" spans="2:12" x14ac:dyDescent="0.35">
      <c r="B996" s="12"/>
      <c r="C996" s="11"/>
      <c r="D996" s="11"/>
      <c r="E996" s="11"/>
      <c r="F996" s="1" t="str">
        <f t="shared" si="60"/>
        <v/>
      </c>
      <c r="G996" s="1" t="str">
        <f t="shared" si="61"/>
        <v/>
      </c>
      <c r="H996" s="1" t="str">
        <f t="shared" si="62"/>
        <v/>
      </c>
      <c r="I996" s="1" t="str">
        <f>IF($L996="","",INDEX(Ref_AccountRules,$L996,3))</f>
        <v/>
      </c>
      <c r="J996" s="1" t="str">
        <f>IF($L996="","",INDEX(Ref_AccountRules,$L996,4))</f>
        <v/>
      </c>
      <c r="K996" s="1" t="str">
        <f>IF($L996="","",INDEX(Ref_AccountRules,$L996,5))</f>
        <v/>
      </c>
      <c r="L996" s="1" t="str">
        <f t="shared" si="63"/>
        <v/>
      </c>
    </row>
    <row r="997" spans="2:12" x14ac:dyDescent="0.35">
      <c r="B997" s="12"/>
      <c r="C997" s="11"/>
      <c r="D997" s="11"/>
      <c r="E997" s="11"/>
      <c r="F997" s="1" t="str">
        <f t="shared" si="60"/>
        <v/>
      </c>
      <c r="G997" s="1" t="str">
        <f t="shared" si="61"/>
        <v/>
      </c>
      <c r="H997" s="1" t="str">
        <f t="shared" si="62"/>
        <v/>
      </c>
      <c r="I997" s="1" t="str">
        <f>IF($L997="","",INDEX(Ref_AccountRules,$L997,3))</f>
        <v/>
      </c>
      <c r="J997" s="1" t="str">
        <f>IF($L997="","",INDEX(Ref_AccountRules,$L997,4))</f>
        <v/>
      </c>
      <c r="K997" s="1" t="str">
        <f>IF($L997="","",INDEX(Ref_AccountRules,$L997,5))</f>
        <v/>
      </c>
      <c r="L997" s="1" t="str">
        <f t="shared" si="63"/>
        <v/>
      </c>
    </row>
    <row r="998" spans="2:12" x14ac:dyDescent="0.35">
      <c r="B998" s="12"/>
      <c r="C998" s="11"/>
      <c r="D998" s="11"/>
      <c r="E998" s="11"/>
      <c r="F998" s="1" t="str">
        <f t="shared" si="60"/>
        <v/>
      </c>
      <c r="G998" s="1" t="str">
        <f t="shared" si="61"/>
        <v/>
      </c>
      <c r="H998" s="1" t="str">
        <f t="shared" si="62"/>
        <v/>
      </c>
      <c r="I998" s="1" t="str">
        <f>IF($L998="","",INDEX(Ref_AccountRules,$L998,3))</f>
        <v/>
      </c>
      <c r="J998" s="1" t="str">
        <f>IF($L998="","",INDEX(Ref_AccountRules,$L998,4))</f>
        <v/>
      </c>
      <c r="K998" s="1" t="str">
        <f>IF($L998="","",INDEX(Ref_AccountRules,$L998,5))</f>
        <v/>
      </c>
      <c r="L998" s="1" t="str">
        <f t="shared" si="63"/>
        <v/>
      </c>
    </row>
    <row r="999" spans="2:12" x14ac:dyDescent="0.35">
      <c r="B999" s="12"/>
      <c r="C999" s="11"/>
      <c r="D999" s="11"/>
      <c r="E999" s="11"/>
      <c r="F999" s="1" t="str">
        <f t="shared" si="60"/>
        <v/>
      </c>
      <c r="G999" s="1" t="str">
        <f t="shared" si="61"/>
        <v/>
      </c>
      <c r="H999" s="1" t="str">
        <f t="shared" si="62"/>
        <v/>
      </c>
      <c r="I999" s="1" t="str">
        <f>IF($L999="","",INDEX(Ref_AccountRules,$L999,3))</f>
        <v/>
      </c>
      <c r="J999" s="1" t="str">
        <f>IF($L999="","",INDEX(Ref_AccountRules,$L999,4))</f>
        <v/>
      </c>
      <c r="K999" s="1" t="str">
        <f>IF($L999="","",INDEX(Ref_AccountRules,$L999,5))</f>
        <v/>
      </c>
      <c r="L999" s="1" t="str">
        <f t="shared" si="63"/>
        <v/>
      </c>
    </row>
    <row r="1000" spans="2:12" x14ac:dyDescent="0.35">
      <c r="B1000" s="12"/>
      <c r="C1000" s="11"/>
      <c r="D1000" s="11"/>
      <c r="E1000" s="11"/>
      <c r="F1000" s="1" t="str">
        <f t="shared" si="60"/>
        <v/>
      </c>
      <c r="G1000" s="1" t="str">
        <f t="shared" si="61"/>
        <v/>
      </c>
      <c r="H1000" s="1" t="str">
        <f t="shared" si="62"/>
        <v/>
      </c>
      <c r="I1000" s="1" t="str">
        <f>IF($L1000="","",INDEX(Ref_AccountRules,$L1000,3))</f>
        <v/>
      </c>
      <c r="J1000" s="1" t="str">
        <f>IF($L1000="","",INDEX(Ref_AccountRules,$L1000,4))</f>
        <v/>
      </c>
      <c r="K1000" s="1" t="str">
        <f>IF($L1000="","",INDEX(Ref_AccountRules,$L1000,5))</f>
        <v/>
      </c>
      <c r="L1000" s="1" t="str">
        <f t="shared" si="63"/>
        <v/>
      </c>
    </row>
    <row r="1001" spans="2:12" x14ac:dyDescent="0.35">
      <c r="B1001" s="12"/>
      <c r="C1001" s="11"/>
      <c r="D1001" s="11"/>
      <c r="E1001" s="11"/>
      <c r="F1001" s="1" t="str">
        <f t="shared" si="60"/>
        <v/>
      </c>
      <c r="G1001" s="1" t="str">
        <f t="shared" si="61"/>
        <v/>
      </c>
      <c r="H1001" s="1" t="str">
        <f t="shared" si="62"/>
        <v/>
      </c>
      <c r="I1001" s="1" t="str">
        <f>IF($L1001="","",INDEX(Ref_AccountRules,$L1001,3))</f>
        <v/>
      </c>
      <c r="J1001" s="1" t="str">
        <f>IF($L1001="","",INDEX(Ref_AccountRules,$L1001,4))</f>
        <v/>
      </c>
      <c r="K1001" s="1" t="str">
        <f>IF($L1001="","",INDEX(Ref_AccountRules,$L1001,5))</f>
        <v/>
      </c>
      <c r="L1001" s="1" t="str">
        <f t="shared" si="63"/>
        <v/>
      </c>
    </row>
    <row r="1002" spans="2:12" x14ac:dyDescent="0.35">
      <c r="B1002" s="12"/>
      <c r="C1002" s="11"/>
      <c r="D1002" s="11"/>
      <c r="E1002" s="11"/>
      <c r="F1002" s="1" t="str">
        <f t="shared" si="60"/>
        <v/>
      </c>
      <c r="G1002" s="1" t="str">
        <f t="shared" si="61"/>
        <v/>
      </c>
      <c r="H1002" s="1" t="str">
        <f t="shared" si="62"/>
        <v/>
      </c>
      <c r="I1002" s="1" t="str">
        <f>IF($L1002="","",INDEX(Ref_AccountRules,$L1002,3))</f>
        <v/>
      </c>
      <c r="J1002" s="1" t="str">
        <f>IF($L1002="","",INDEX(Ref_AccountRules,$L1002,4))</f>
        <v/>
      </c>
      <c r="K1002" s="1" t="str">
        <f>IF($L1002="","",INDEX(Ref_AccountRules,$L1002,5))</f>
        <v/>
      </c>
      <c r="L1002" s="1" t="str">
        <f t="shared" si="63"/>
        <v/>
      </c>
    </row>
    <row r="1003" spans="2:12" x14ac:dyDescent="0.35">
      <c r="B1003" s="12"/>
      <c r="C1003" s="11"/>
      <c r="D1003" s="11"/>
      <c r="E1003" s="11"/>
      <c r="F1003" s="1" t="str">
        <f t="shared" si="60"/>
        <v/>
      </c>
      <c r="G1003" s="1" t="str">
        <f t="shared" si="61"/>
        <v/>
      </c>
      <c r="H1003" s="1" t="str">
        <f t="shared" si="62"/>
        <v/>
      </c>
      <c r="I1003" s="1" t="str">
        <f>IF($L1003="","",INDEX(Ref_AccountRules,$L1003,3))</f>
        <v/>
      </c>
      <c r="J1003" s="1" t="str">
        <f>IF($L1003="","",INDEX(Ref_AccountRules,$L1003,4))</f>
        <v/>
      </c>
      <c r="K1003" s="1" t="str">
        <f>IF($L1003="","",INDEX(Ref_AccountRules,$L1003,5))</f>
        <v/>
      </c>
      <c r="L1003" s="1" t="str">
        <f t="shared" si="63"/>
        <v/>
      </c>
    </row>
    <row r="1004" spans="2:12" x14ac:dyDescent="0.35">
      <c r="B1004" s="12"/>
      <c r="C1004" s="11"/>
      <c r="D1004" s="11"/>
      <c r="E1004" s="11"/>
      <c r="F1004" s="1" t="str">
        <f t="shared" si="60"/>
        <v/>
      </c>
      <c r="G1004" s="1" t="str">
        <f t="shared" si="61"/>
        <v/>
      </c>
      <c r="H1004" s="1" t="str">
        <f t="shared" si="62"/>
        <v/>
      </c>
      <c r="I1004" s="1" t="str">
        <f>IF($L1004="","",INDEX(Ref_AccountRules,$L1004,3))</f>
        <v/>
      </c>
      <c r="J1004" s="1" t="str">
        <f>IF($L1004="","",INDEX(Ref_AccountRules,$L1004,4))</f>
        <v/>
      </c>
      <c r="K1004" s="1" t="str">
        <f>IF($L1004="","",INDEX(Ref_AccountRules,$L1004,5))</f>
        <v/>
      </c>
      <c r="L1004" s="1" t="str">
        <f t="shared" si="63"/>
        <v/>
      </c>
    </row>
    <row r="1005" spans="2:12" x14ac:dyDescent="0.35">
      <c r="B1005" s="12"/>
      <c r="C1005" s="11"/>
      <c r="D1005" s="11"/>
      <c r="E1005" s="11"/>
      <c r="F1005" s="1" t="str">
        <f t="shared" si="60"/>
        <v/>
      </c>
      <c r="G1005" s="1" t="str">
        <f t="shared" si="61"/>
        <v/>
      </c>
      <c r="H1005" s="1" t="str">
        <f t="shared" si="62"/>
        <v/>
      </c>
      <c r="I1005" s="1" t="str">
        <f>IF($L1005="","",INDEX(Ref_AccountRules,$L1005,3))</f>
        <v/>
      </c>
      <c r="J1005" s="1" t="str">
        <f>IF($L1005="","",INDEX(Ref_AccountRules,$L1005,4))</f>
        <v/>
      </c>
      <c r="K1005" s="1" t="str">
        <f>IF($L1005="","",INDEX(Ref_AccountRules,$L1005,5))</f>
        <v/>
      </c>
      <c r="L1005" s="1" t="str">
        <f t="shared" si="63"/>
        <v/>
      </c>
    </row>
    <row r="1006" spans="2:12" x14ac:dyDescent="0.35">
      <c r="B1006" s="12"/>
      <c r="C1006" s="11"/>
      <c r="D1006" s="11"/>
      <c r="E1006" s="11"/>
      <c r="F1006" s="1" t="str">
        <f t="shared" si="60"/>
        <v/>
      </c>
      <c r="G1006" s="1" t="str">
        <f t="shared" si="61"/>
        <v/>
      </c>
      <c r="H1006" s="1" t="str">
        <f t="shared" si="62"/>
        <v/>
      </c>
      <c r="I1006" s="1" t="str">
        <f>IF($L1006="","",INDEX(Ref_AccountRules,$L1006,3))</f>
        <v/>
      </c>
      <c r="J1006" s="1" t="str">
        <f>IF($L1006="","",INDEX(Ref_AccountRules,$L1006,4))</f>
        <v/>
      </c>
      <c r="K1006" s="1" t="str">
        <f>IF($L1006="","",INDEX(Ref_AccountRules,$L1006,5))</f>
        <v/>
      </c>
      <c r="L1006" s="1" t="str">
        <f t="shared" si="63"/>
        <v/>
      </c>
    </row>
    <row r="1007" spans="2:12" x14ac:dyDescent="0.35">
      <c r="B1007" s="12"/>
      <c r="C1007" s="11"/>
      <c r="D1007" s="11"/>
      <c r="E1007" s="11"/>
      <c r="F1007" s="1" t="str">
        <f t="shared" si="60"/>
        <v/>
      </c>
      <c r="G1007" s="1" t="str">
        <f t="shared" si="61"/>
        <v/>
      </c>
      <c r="H1007" s="1" t="str">
        <f t="shared" si="62"/>
        <v/>
      </c>
      <c r="I1007" s="1" t="str">
        <f>IF($L1007="","",INDEX(Ref_AccountRules,$L1007,3))</f>
        <v/>
      </c>
      <c r="J1007" s="1" t="str">
        <f>IF($L1007="","",INDEX(Ref_AccountRules,$L1007,4))</f>
        <v/>
      </c>
      <c r="K1007" s="1" t="str">
        <f>IF($L1007="","",INDEX(Ref_AccountRules,$L1007,5))</f>
        <v/>
      </c>
      <c r="L1007" s="1" t="str">
        <f t="shared" si="63"/>
        <v/>
      </c>
    </row>
    <row r="1008" spans="2:12" x14ac:dyDescent="0.35">
      <c r="B1008" s="12"/>
      <c r="C1008" s="11"/>
      <c r="D1008" s="11"/>
      <c r="E1008" s="11"/>
      <c r="F1008" s="1" t="str">
        <f t="shared" si="60"/>
        <v/>
      </c>
      <c r="G1008" s="1" t="str">
        <f t="shared" si="61"/>
        <v/>
      </c>
      <c r="H1008" s="1" t="str">
        <f t="shared" si="62"/>
        <v/>
      </c>
      <c r="I1008" s="1" t="str">
        <f>IF($L1008="","",INDEX(Ref_AccountRules,$L1008,3))</f>
        <v/>
      </c>
      <c r="J1008" s="1" t="str">
        <f>IF($L1008="","",INDEX(Ref_AccountRules,$L1008,4))</f>
        <v/>
      </c>
      <c r="K1008" s="1" t="str">
        <f>IF($L1008="","",INDEX(Ref_AccountRules,$L1008,5))</f>
        <v/>
      </c>
      <c r="L1008" s="1" t="str">
        <f t="shared" si="63"/>
        <v/>
      </c>
    </row>
    <row r="1009" spans="2:12" x14ac:dyDescent="0.35">
      <c r="B1009" s="12"/>
      <c r="C1009" s="11"/>
      <c r="D1009" s="11"/>
      <c r="E1009" s="11"/>
      <c r="F1009" s="1" t="str">
        <f t="shared" si="60"/>
        <v/>
      </c>
      <c r="G1009" s="1" t="str">
        <f t="shared" si="61"/>
        <v/>
      </c>
      <c r="H1009" s="1" t="str">
        <f t="shared" si="62"/>
        <v/>
      </c>
      <c r="I1009" s="1" t="str">
        <f>IF($L1009="","",INDEX(Ref_AccountRules,$L1009,3))</f>
        <v/>
      </c>
      <c r="J1009" s="1" t="str">
        <f>IF($L1009="","",INDEX(Ref_AccountRules,$L1009,4))</f>
        <v/>
      </c>
      <c r="K1009" s="1" t="str">
        <f>IF($L1009="","",INDEX(Ref_AccountRules,$L1009,5))</f>
        <v/>
      </c>
      <c r="L1009" s="1" t="str">
        <f t="shared" si="63"/>
        <v/>
      </c>
    </row>
  </sheetData>
  <mergeCells count="2">
    <mergeCell ref="B4:K4"/>
    <mergeCell ref="B6:K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F6DA-6F97-4F2D-A8EF-AAAC13679F84}">
  <sheetPr codeName="Feuil3"/>
  <dimension ref="A1:N101"/>
  <sheetViews>
    <sheetView showGridLines="0" workbookViewId="0"/>
  </sheetViews>
  <sheetFormatPr baseColWidth="10" defaultRowHeight="15" x14ac:dyDescent="0.35"/>
  <cols>
    <col min="1" max="1" width="11.5546875" style="1"/>
    <col min="2" max="13" width="10.33203125" style="1" customWidth="1"/>
    <col min="14" max="16384" width="11.5546875" style="1"/>
  </cols>
  <sheetData>
    <row r="1" spans="1:14" x14ac:dyDescent="0.35">
      <c r="A1" s="3"/>
      <c r="B1" s="3"/>
      <c r="C1" s="3"/>
      <c r="D1" s="3"/>
      <c r="E1" s="3"/>
      <c r="F1" s="3"/>
      <c r="G1" s="3"/>
      <c r="H1" s="3"/>
      <c r="I1" s="3"/>
      <c r="J1" s="3"/>
      <c r="K1" s="3"/>
      <c r="L1" s="3"/>
      <c r="M1" s="3"/>
      <c r="N1" s="3"/>
    </row>
    <row r="2" spans="1:14" x14ac:dyDescent="0.35">
      <c r="A2" s="3"/>
      <c r="B2" s="3"/>
      <c r="C2" s="3"/>
      <c r="D2" s="3"/>
      <c r="E2" s="3"/>
      <c r="F2" s="3"/>
      <c r="G2" s="3"/>
      <c r="H2" s="3"/>
      <c r="I2" s="3"/>
      <c r="J2" s="3"/>
      <c r="K2" s="3"/>
      <c r="L2" s="3"/>
      <c r="M2" s="3"/>
      <c r="N2" s="3"/>
    </row>
    <row r="4" spans="1:14" ht="24" customHeight="1" x14ac:dyDescent="0.35">
      <c r="B4" s="4" t="s">
        <v>265</v>
      </c>
      <c r="C4" s="4"/>
      <c r="D4" s="4"/>
      <c r="E4" s="4"/>
      <c r="F4" s="4"/>
      <c r="G4" s="4"/>
      <c r="H4" s="4"/>
      <c r="I4" s="4"/>
      <c r="J4" s="4"/>
      <c r="K4" s="4"/>
      <c r="L4" s="4"/>
      <c r="M4" s="4"/>
    </row>
    <row r="6" spans="1:14" x14ac:dyDescent="0.35">
      <c r="B6" s="16" t="str">
        <f>"Immobilisation"&amp;CHAR(10)&amp;COUNTIFS(BalData_Cycle,"immobilisations",BalData_Lecture,"?*")&amp;" compte(s)"</f>
        <v>Immobilisation
0 compte(s)</v>
      </c>
      <c r="C6" s="16"/>
      <c r="D6" s="16"/>
      <c r="F6" s="16" t="str">
        <f>"Fournisseurs - Achats"&amp;CHAR(10)&amp;COUNTIFS(BalData_Cycle,"fournisseurs",BalData_Lecture,"?*")&amp;" compte(s)"</f>
        <v>Fournisseurs - Achats
0 compte(s)</v>
      </c>
      <c r="G6" s="16"/>
      <c r="H6" s="16"/>
      <c r="J6" s="16" t="str">
        <f>"Clients - Ventes"&amp;CHAR(10)&amp;COUNTIFS(BalData_Cycle,"clients",BalData_Lecture,"?*")&amp;" compte(s)"</f>
        <v>Clients - Ventes
0 compte(s)</v>
      </c>
      <c r="K6" s="16"/>
      <c r="L6" s="16"/>
    </row>
    <row r="7" spans="1:14" x14ac:dyDescent="0.35">
      <c r="B7" s="16"/>
      <c r="C7" s="16"/>
      <c r="D7" s="16"/>
      <c r="F7" s="16"/>
      <c r="G7" s="16"/>
      <c r="H7" s="16"/>
      <c r="J7" s="16"/>
      <c r="K7" s="16"/>
      <c r="L7" s="16"/>
    </row>
    <row r="9" spans="1:14" x14ac:dyDescent="0.35">
      <c r="B9" s="16" t="str">
        <f>"Stocks"&amp;CHAR(10)&amp;COUNTIFS(BalData_Cycle,"stocks",BalData_Lecture,"?*")&amp;" compte(s)"</f>
        <v>Stocks
0 compte(s)</v>
      </c>
      <c r="C9" s="16"/>
      <c r="D9" s="16"/>
      <c r="F9" s="16" t="str">
        <f>"Déplacements - Mobilité"&amp;CHAR(10)&amp;COUNTIFS(BalData_Cycle,"deplacements",BalData_Lecture,"?*")&amp;" compte(s)"</f>
        <v>Déplacements - Mobilité
0 compte(s)</v>
      </c>
      <c r="G9" s="16"/>
      <c r="H9" s="16"/>
      <c r="J9" s="16" t="str">
        <f>"Énergie - Déchets - Eau"&amp;CHAR(10)&amp;COUNTIFS(BalData_Cycle,"energie_dechets",BalData_Lecture,"?*")&amp;" compte(s)"</f>
        <v>Énergie - Déchets - Eau
0 compte(s)</v>
      </c>
      <c r="K9" s="16"/>
      <c r="L9" s="16"/>
    </row>
    <row r="10" spans="1:14" x14ac:dyDescent="0.35">
      <c r="B10" s="16"/>
      <c r="C10" s="16"/>
      <c r="D10" s="16"/>
      <c r="F10" s="16"/>
      <c r="G10" s="16"/>
      <c r="H10" s="16"/>
      <c r="J10" s="16"/>
      <c r="K10" s="16"/>
      <c r="L10" s="16"/>
    </row>
    <row r="12" spans="1:14" x14ac:dyDescent="0.35">
      <c r="B12" s="16" t="str">
        <f>"Finance - Trésorerie"&amp;CHAR(10)&amp;COUNTIFS(BalData_Cycle,"tresorerie_financement",BalData_Lecture,"?*")&amp;" compte(s)"</f>
        <v>Finance - Trésorerie
0 compte(s)</v>
      </c>
      <c r="C12" s="16"/>
      <c r="D12" s="16"/>
      <c r="F12" s="16" t="str">
        <f>"Personnel - RH"&amp;CHAR(10)&amp;COUNTIFS(BalData_Cycle,"personnel",BalData_Lecture,"?*")&amp;" compte(s)"</f>
        <v>Personnel - RH
0 compte(s)</v>
      </c>
      <c r="G12" s="16"/>
      <c r="H12" s="16"/>
      <c r="J12" s="16" t="str">
        <f>"Emballages"&amp;CHAR(10)&amp;COUNTIFS(BalData_Cycle,"emballages",BalData_Lecture,"?*")&amp;" compte(s)"</f>
        <v>Emballages
0 compte(s)</v>
      </c>
      <c r="K12" s="16"/>
      <c r="L12" s="16"/>
    </row>
    <row r="13" spans="1:14" x14ac:dyDescent="0.35">
      <c r="B13" s="16"/>
      <c r="C13" s="16"/>
      <c r="D13" s="16"/>
      <c r="F13" s="16"/>
      <c r="G13" s="16"/>
      <c r="H13" s="16"/>
      <c r="J13" s="16"/>
      <c r="K13" s="16"/>
      <c r="L13" s="16"/>
    </row>
    <row r="15" spans="1:14" x14ac:dyDescent="0.35">
      <c r="B15" s="16" t="str">
        <f>"Autres comptes"&amp;CHAR(10)&amp;COUNTIFS(BalData_Cycle,"autres",BalData_Lecture,"?*")&amp;" compte(s)"</f>
        <v>Autres comptes
0 compte(s)</v>
      </c>
      <c r="C15" s="16"/>
      <c r="D15" s="16"/>
    </row>
    <row r="16" spans="1:14" x14ac:dyDescent="0.35">
      <c r="B16" s="16"/>
      <c r="C16" s="16"/>
      <c r="D16" s="16"/>
    </row>
    <row r="20" spans="2:13" ht="22.05" customHeight="1" x14ac:dyDescent="0.35">
      <c r="B20" s="13" t="s">
        <v>4</v>
      </c>
      <c r="C20" s="13"/>
      <c r="D20" s="13"/>
      <c r="E20" s="13"/>
      <c r="F20" s="13"/>
      <c r="G20" s="13"/>
      <c r="H20" s="13"/>
      <c r="I20" s="13"/>
      <c r="J20" s="13"/>
      <c r="K20" s="13"/>
      <c r="L20" s="13"/>
      <c r="M20" s="13"/>
    </row>
    <row r="21" spans="2:13" x14ac:dyDescent="0.35">
      <c r="B21" s="14" t="s">
        <v>266</v>
      </c>
      <c r="C21" s="14"/>
      <c r="D21" s="14"/>
      <c r="E21" s="14"/>
      <c r="F21" s="14" t="s">
        <v>267</v>
      </c>
      <c r="G21" s="14"/>
      <c r="H21" s="14"/>
      <c r="I21" s="14"/>
      <c r="J21" s="14" t="s">
        <v>268</v>
      </c>
      <c r="K21" s="14"/>
      <c r="L21" s="14"/>
      <c r="M21" s="14"/>
    </row>
    <row r="22" spans="2:13" x14ac:dyDescent="0.35">
      <c r="B22" s="15" t="s">
        <v>269</v>
      </c>
      <c r="C22" s="15"/>
      <c r="D22" s="15"/>
      <c r="E22" s="15"/>
      <c r="F22" s="15" t="s">
        <v>270</v>
      </c>
      <c r="G22" s="15"/>
      <c r="H22" s="15"/>
      <c r="I22" s="15"/>
      <c r="J22" s="15" t="s">
        <v>271</v>
      </c>
      <c r="K22" s="15"/>
      <c r="L22" s="15"/>
      <c r="M22" s="15"/>
    </row>
    <row r="23" spans="2:13" x14ac:dyDescent="0.35">
      <c r="B23" s="15"/>
      <c r="C23" s="15"/>
      <c r="D23" s="15"/>
      <c r="E23" s="15"/>
      <c r="F23" s="15"/>
      <c r="G23" s="15"/>
      <c r="H23" s="15"/>
      <c r="I23" s="15"/>
      <c r="J23" s="15"/>
      <c r="K23" s="15"/>
      <c r="L23" s="15"/>
      <c r="M23" s="15"/>
    </row>
    <row r="24" spans="2:13" x14ac:dyDescent="0.35">
      <c r="B24" s="15"/>
      <c r="C24" s="15"/>
      <c r="D24" s="15"/>
      <c r="E24" s="15"/>
      <c r="F24" s="15"/>
      <c r="G24" s="15"/>
      <c r="H24" s="15"/>
      <c r="I24" s="15"/>
      <c r="J24" s="15"/>
      <c r="K24" s="15"/>
      <c r="L24" s="15"/>
      <c r="M24" s="15"/>
    </row>
    <row r="25" spans="2:13" x14ac:dyDescent="0.35">
      <c r="B25" s="15"/>
      <c r="C25" s="15"/>
      <c r="D25" s="15"/>
      <c r="E25" s="15"/>
      <c r="F25" s="15"/>
      <c r="G25" s="15"/>
      <c r="H25" s="15"/>
      <c r="I25" s="15"/>
      <c r="J25" s="15"/>
      <c r="K25" s="15"/>
      <c r="L25" s="15"/>
      <c r="M25" s="15"/>
    </row>
    <row r="26" spans="2:13" x14ac:dyDescent="0.35">
      <c r="B26" s="15"/>
      <c r="C26" s="15"/>
      <c r="D26" s="15"/>
      <c r="E26" s="15"/>
      <c r="F26" s="15"/>
      <c r="G26" s="15"/>
      <c r="H26" s="15"/>
      <c r="I26" s="15"/>
      <c r="J26" s="15"/>
      <c r="K26" s="15"/>
      <c r="L26" s="15"/>
      <c r="M26" s="15"/>
    </row>
    <row r="28" spans="2:13" ht="22.05" customHeight="1" x14ac:dyDescent="0.35">
      <c r="B28" s="13" t="s">
        <v>7</v>
      </c>
      <c r="C28" s="13"/>
      <c r="D28" s="13"/>
      <c r="E28" s="13"/>
      <c r="F28" s="13"/>
      <c r="G28" s="13"/>
      <c r="H28" s="13"/>
      <c r="I28" s="13"/>
      <c r="J28" s="13"/>
      <c r="K28" s="13"/>
      <c r="L28" s="13"/>
      <c r="M28" s="13"/>
    </row>
    <row r="29" spans="2:13" x14ac:dyDescent="0.35">
      <c r="B29" s="14" t="s">
        <v>266</v>
      </c>
      <c r="C29" s="14"/>
      <c r="D29" s="14"/>
      <c r="E29" s="14"/>
      <c r="F29" s="14" t="s">
        <v>267</v>
      </c>
      <c r="G29" s="14"/>
      <c r="H29" s="14"/>
      <c r="I29" s="14"/>
      <c r="J29" s="14" t="s">
        <v>268</v>
      </c>
      <c r="K29" s="14"/>
      <c r="L29" s="14"/>
      <c r="M29" s="14"/>
    </row>
    <row r="30" spans="2:13" x14ac:dyDescent="0.35">
      <c r="B30" s="15" t="s">
        <v>272</v>
      </c>
      <c r="C30" s="15"/>
      <c r="D30" s="15"/>
      <c r="E30" s="15"/>
      <c r="F30" s="15" t="s">
        <v>273</v>
      </c>
      <c r="G30" s="15"/>
      <c r="H30" s="15"/>
      <c r="I30" s="15"/>
      <c r="J30" s="15" t="s">
        <v>274</v>
      </c>
      <c r="K30" s="15"/>
      <c r="L30" s="15"/>
      <c r="M30" s="15"/>
    </row>
    <row r="31" spans="2:13" x14ac:dyDescent="0.35">
      <c r="B31" s="15"/>
      <c r="C31" s="15"/>
      <c r="D31" s="15"/>
      <c r="E31" s="15"/>
      <c r="F31" s="15"/>
      <c r="G31" s="15"/>
      <c r="H31" s="15"/>
      <c r="I31" s="15"/>
      <c r="J31" s="15"/>
      <c r="K31" s="15"/>
      <c r="L31" s="15"/>
      <c r="M31" s="15"/>
    </row>
    <row r="32" spans="2:13" x14ac:dyDescent="0.35">
      <c r="B32" s="15"/>
      <c r="C32" s="15"/>
      <c r="D32" s="15"/>
      <c r="E32" s="15"/>
      <c r="F32" s="15"/>
      <c r="G32" s="15"/>
      <c r="H32" s="15"/>
      <c r="I32" s="15"/>
      <c r="J32" s="15"/>
      <c r="K32" s="15"/>
      <c r="L32" s="15"/>
      <c r="M32" s="15"/>
    </row>
    <row r="33" spans="2:13" x14ac:dyDescent="0.35">
      <c r="B33" s="15"/>
      <c r="C33" s="15"/>
      <c r="D33" s="15"/>
      <c r="E33" s="15"/>
      <c r="F33" s="15"/>
      <c r="G33" s="15"/>
      <c r="H33" s="15"/>
      <c r="I33" s="15"/>
      <c r="J33" s="15"/>
      <c r="K33" s="15"/>
      <c r="L33" s="15"/>
      <c r="M33" s="15"/>
    </row>
    <row r="34" spans="2:13" x14ac:dyDescent="0.35">
      <c r="B34" s="15"/>
      <c r="C34" s="15"/>
      <c r="D34" s="15"/>
      <c r="E34" s="15"/>
      <c r="F34" s="15"/>
      <c r="G34" s="15"/>
      <c r="H34" s="15"/>
      <c r="I34" s="15"/>
      <c r="J34" s="15"/>
      <c r="K34" s="15"/>
      <c r="L34" s="15"/>
      <c r="M34" s="15"/>
    </row>
    <row r="36" spans="2:13" ht="22.05" customHeight="1" x14ac:dyDescent="0.35">
      <c r="B36" s="13" t="s">
        <v>10</v>
      </c>
      <c r="C36" s="13"/>
      <c r="D36" s="13"/>
      <c r="E36" s="13"/>
      <c r="F36" s="13"/>
      <c r="G36" s="13"/>
      <c r="H36" s="13"/>
      <c r="I36" s="13"/>
      <c r="J36" s="13"/>
      <c r="K36" s="13"/>
      <c r="L36" s="13"/>
      <c r="M36" s="13"/>
    </row>
    <row r="37" spans="2:13" x14ac:dyDescent="0.35">
      <c r="B37" s="14" t="s">
        <v>266</v>
      </c>
      <c r="C37" s="14"/>
      <c r="D37" s="14"/>
      <c r="E37" s="14"/>
      <c r="F37" s="14" t="s">
        <v>267</v>
      </c>
      <c r="G37" s="14"/>
      <c r="H37" s="14"/>
      <c r="I37" s="14"/>
      <c r="J37" s="14" t="s">
        <v>268</v>
      </c>
      <c r="K37" s="14"/>
      <c r="L37" s="14"/>
      <c r="M37" s="14"/>
    </row>
    <row r="38" spans="2:13" x14ac:dyDescent="0.35">
      <c r="B38" s="15" t="s">
        <v>275</v>
      </c>
      <c r="C38" s="15"/>
      <c r="D38" s="15"/>
      <c r="E38" s="15"/>
      <c r="F38" s="15" t="s">
        <v>276</v>
      </c>
      <c r="G38" s="15"/>
      <c r="H38" s="15"/>
      <c r="I38" s="15"/>
      <c r="J38" s="15" t="s">
        <v>277</v>
      </c>
      <c r="K38" s="15"/>
      <c r="L38" s="15"/>
      <c r="M38" s="15"/>
    </row>
    <row r="39" spans="2:13" x14ac:dyDescent="0.35">
      <c r="B39" s="15"/>
      <c r="C39" s="15"/>
      <c r="D39" s="15"/>
      <c r="E39" s="15"/>
      <c r="F39" s="15"/>
      <c r="G39" s="15"/>
      <c r="H39" s="15"/>
      <c r="I39" s="15"/>
      <c r="J39" s="15"/>
      <c r="K39" s="15"/>
      <c r="L39" s="15"/>
      <c r="M39" s="15"/>
    </row>
    <row r="40" spans="2:13" x14ac:dyDescent="0.35">
      <c r="B40" s="15"/>
      <c r="C40" s="15"/>
      <c r="D40" s="15"/>
      <c r="E40" s="15"/>
      <c r="F40" s="15"/>
      <c r="G40" s="15"/>
      <c r="H40" s="15"/>
      <c r="I40" s="15"/>
      <c r="J40" s="15"/>
      <c r="K40" s="15"/>
      <c r="L40" s="15"/>
      <c r="M40" s="15"/>
    </row>
    <row r="41" spans="2:13" x14ac:dyDescent="0.35">
      <c r="B41" s="15"/>
      <c r="C41" s="15"/>
      <c r="D41" s="15"/>
      <c r="E41" s="15"/>
      <c r="F41" s="15"/>
      <c r="G41" s="15"/>
      <c r="H41" s="15"/>
      <c r="I41" s="15"/>
      <c r="J41" s="15"/>
      <c r="K41" s="15"/>
      <c r="L41" s="15"/>
      <c r="M41" s="15"/>
    </row>
    <row r="42" spans="2:13" x14ac:dyDescent="0.35">
      <c r="B42" s="15"/>
      <c r="C42" s="15"/>
      <c r="D42" s="15"/>
      <c r="E42" s="15"/>
      <c r="F42" s="15"/>
      <c r="G42" s="15"/>
      <c r="H42" s="15"/>
      <c r="I42" s="15"/>
      <c r="J42" s="15"/>
      <c r="K42" s="15"/>
      <c r="L42" s="15"/>
      <c r="M42" s="15"/>
    </row>
    <row r="44" spans="2:13" ht="22.05" customHeight="1" x14ac:dyDescent="0.35">
      <c r="B44" s="13" t="s">
        <v>13</v>
      </c>
      <c r="C44" s="13"/>
      <c r="D44" s="13"/>
      <c r="E44" s="13"/>
      <c r="F44" s="13"/>
      <c r="G44" s="13"/>
      <c r="H44" s="13"/>
      <c r="I44" s="13"/>
      <c r="J44" s="13"/>
      <c r="K44" s="13"/>
      <c r="L44" s="13"/>
      <c r="M44" s="13"/>
    </row>
    <row r="45" spans="2:13" x14ac:dyDescent="0.35">
      <c r="B45" s="14" t="s">
        <v>266</v>
      </c>
      <c r="C45" s="14"/>
      <c r="D45" s="14"/>
      <c r="E45" s="14"/>
      <c r="F45" s="14" t="s">
        <v>267</v>
      </c>
      <c r="G45" s="14"/>
      <c r="H45" s="14"/>
      <c r="I45" s="14"/>
      <c r="J45" s="14" t="s">
        <v>268</v>
      </c>
      <c r="K45" s="14"/>
      <c r="L45" s="14"/>
      <c r="M45" s="14"/>
    </row>
    <row r="46" spans="2:13" x14ac:dyDescent="0.35">
      <c r="B46" s="15" t="s">
        <v>278</v>
      </c>
      <c r="C46" s="15"/>
      <c r="D46" s="15"/>
      <c r="E46" s="15"/>
      <c r="F46" s="15" t="s">
        <v>279</v>
      </c>
      <c r="G46" s="15"/>
      <c r="H46" s="15"/>
      <c r="I46" s="15"/>
      <c r="J46" s="15" t="s">
        <v>280</v>
      </c>
      <c r="K46" s="15"/>
      <c r="L46" s="15"/>
      <c r="M46" s="15"/>
    </row>
    <row r="47" spans="2:13" x14ac:dyDescent="0.35">
      <c r="B47" s="15"/>
      <c r="C47" s="15"/>
      <c r="D47" s="15"/>
      <c r="E47" s="15"/>
      <c r="F47" s="15"/>
      <c r="G47" s="15"/>
      <c r="H47" s="15"/>
      <c r="I47" s="15"/>
      <c r="J47" s="15"/>
      <c r="K47" s="15"/>
      <c r="L47" s="15"/>
      <c r="M47" s="15"/>
    </row>
    <row r="48" spans="2:13" x14ac:dyDescent="0.35">
      <c r="B48" s="15"/>
      <c r="C48" s="15"/>
      <c r="D48" s="15"/>
      <c r="E48" s="15"/>
      <c r="F48" s="15"/>
      <c r="G48" s="15"/>
      <c r="H48" s="15"/>
      <c r="I48" s="15"/>
      <c r="J48" s="15"/>
      <c r="K48" s="15"/>
      <c r="L48" s="15"/>
      <c r="M48" s="15"/>
    </row>
    <row r="49" spans="2:13" x14ac:dyDescent="0.35">
      <c r="B49" s="15"/>
      <c r="C49" s="15"/>
      <c r="D49" s="15"/>
      <c r="E49" s="15"/>
      <c r="F49" s="15"/>
      <c r="G49" s="15"/>
      <c r="H49" s="15"/>
      <c r="I49" s="15"/>
      <c r="J49" s="15"/>
      <c r="K49" s="15"/>
      <c r="L49" s="15"/>
      <c r="M49" s="15"/>
    </row>
    <row r="50" spans="2:13" x14ac:dyDescent="0.35">
      <c r="B50" s="15"/>
      <c r="C50" s="15"/>
      <c r="D50" s="15"/>
      <c r="E50" s="15"/>
      <c r="F50" s="15"/>
      <c r="G50" s="15"/>
      <c r="H50" s="15"/>
      <c r="I50" s="15"/>
      <c r="J50" s="15"/>
      <c r="K50" s="15"/>
      <c r="L50" s="15"/>
      <c r="M50" s="15"/>
    </row>
    <row r="52" spans="2:13" ht="22.05" customHeight="1" x14ac:dyDescent="0.35">
      <c r="B52" s="13" t="s">
        <v>16</v>
      </c>
      <c r="C52" s="13"/>
      <c r="D52" s="13"/>
      <c r="E52" s="13"/>
      <c r="F52" s="13"/>
      <c r="G52" s="13"/>
      <c r="H52" s="13"/>
      <c r="I52" s="13"/>
      <c r="J52" s="13"/>
      <c r="K52" s="13"/>
      <c r="L52" s="13"/>
      <c r="M52" s="13"/>
    </row>
    <row r="53" spans="2:13" x14ac:dyDescent="0.35">
      <c r="B53" s="14" t="s">
        <v>266</v>
      </c>
      <c r="C53" s="14"/>
      <c r="D53" s="14"/>
      <c r="E53" s="14"/>
      <c r="F53" s="14" t="s">
        <v>267</v>
      </c>
      <c r="G53" s="14"/>
      <c r="H53" s="14"/>
      <c r="I53" s="14"/>
      <c r="J53" s="14" t="s">
        <v>268</v>
      </c>
      <c r="K53" s="14"/>
      <c r="L53" s="14"/>
      <c r="M53" s="14"/>
    </row>
    <row r="54" spans="2:13" x14ac:dyDescent="0.35">
      <c r="B54" s="15" t="s">
        <v>281</v>
      </c>
      <c r="C54" s="15"/>
      <c r="D54" s="15"/>
      <c r="E54" s="15"/>
      <c r="F54" s="15" t="s">
        <v>282</v>
      </c>
      <c r="G54" s="15"/>
      <c r="H54" s="15"/>
      <c r="I54" s="15"/>
      <c r="J54" s="15" t="s">
        <v>283</v>
      </c>
      <c r="K54" s="15"/>
      <c r="L54" s="15"/>
      <c r="M54" s="15"/>
    </row>
    <row r="55" spans="2:13" x14ac:dyDescent="0.35">
      <c r="B55" s="15"/>
      <c r="C55" s="15"/>
      <c r="D55" s="15"/>
      <c r="E55" s="15"/>
      <c r="F55" s="15"/>
      <c r="G55" s="15"/>
      <c r="H55" s="15"/>
      <c r="I55" s="15"/>
      <c r="J55" s="15"/>
      <c r="K55" s="15"/>
      <c r="L55" s="15"/>
      <c r="M55" s="15"/>
    </row>
    <row r="56" spans="2:13" x14ac:dyDescent="0.35">
      <c r="B56" s="15"/>
      <c r="C56" s="15"/>
      <c r="D56" s="15"/>
      <c r="E56" s="15"/>
      <c r="F56" s="15"/>
      <c r="G56" s="15"/>
      <c r="H56" s="15"/>
      <c r="I56" s="15"/>
      <c r="J56" s="15"/>
      <c r="K56" s="15"/>
      <c r="L56" s="15"/>
      <c r="M56" s="15"/>
    </row>
    <row r="57" spans="2:13" x14ac:dyDescent="0.35">
      <c r="B57" s="15"/>
      <c r="C57" s="15"/>
      <c r="D57" s="15"/>
      <c r="E57" s="15"/>
      <c r="F57" s="15"/>
      <c r="G57" s="15"/>
      <c r="H57" s="15"/>
      <c r="I57" s="15"/>
      <c r="J57" s="15"/>
      <c r="K57" s="15"/>
      <c r="L57" s="15"/>
      <c r="M57" s="15"/>
    </row>
    <row r="58" spans="2:13" x14ac:dyDescent="0.35">
      <c r="B58" s="15"/>
      <c r="C58" s="15"/>
      <c r="D58" s="15"/>
      <c r="E58" s="15"/>
      <c r="F58" s="15"/>
      <c r="G58" s="15"/>
      <c r="H58" s="15"/>
      <c r="I58" s="15"/>
      <c r="J58" s="15"/>
      <c r="K58" s="15"/>
      <c r="L58" s="15"/>
      <c r="M58" s="15"/>
    </row>
    <row r="60" spans="2:13" ht="22.05" customHeight="1" x14ac:dyDescent="0.35">
      <c r="B60" s="13" t="s">
        <v>19</v>
      </c>
      <c r="C60" s="13"/>
      <c r="D60" s="13"/>
      <c r="E60" s="13"/>
      <c r="F60" s="13"/>
      <c r="G60" s="13"/>
      <c r="H60" s="13"/>
      <c r="I60" s="13"/>
      <c r="J60" s="13"/>
      <c r="K60" s="13"/>
      <c r="L60" s="13"/>
      <c r="M60" s="13"/>
    </row>
    <row r="61" spans="2:13" x14ac:dyDescent="0.35">
      <c r="B61" s="14" t="s">
        <v>266</v>
      </c>
      <c r="C61" s="14"/>
      <c r="D61" s="14"/>
      <c r="E61" s="14"/>
      <c r="F61" s="14" t="s">
        <v>267</v>
      </c>
      <c r="G61" s="14"/>
      <c r="H61" s="14"/>
      <c r="I61" s="14"/>
      <c r="J61" s="14" t="s">
        <v>268</v>
      </c>
      <c r="K61" s="14"/>
      <c r="L61" s="14"/>
      <c r="M61" s="14"/>
    </row>
    <row r="62" spans="2:13" x14ac:dyDescent="0.35">
      <c r="B62" s="15" t="s">
        <v>284</v>
      </c>
      <c r="C62" s="15"/>
      <c r="D62" s="15"/>
      <c r="E62" s="15"/>
      <c r="F62" s="15" t="s">
        <v>285</v>
      </c>
      <c r="G62" s="15"/>
      <c r="H62" s="15"/>
      <c r="I62" s="15"/>
      <c r="J62" s="15" t="s">
        <v>286</v>
      </c>
      <c r="K62" s="15"/>
      <c r="L62" s="15"/>
      <c r="M62" s="15"/>
    </row>
    <row r="63" spans="2:13" x14ac:dyDescent="0.35">
      <c r="B63" s="15"/>
      <c r="C63" s="15"/>
      <c r="D63" s="15"/>
      <c r="E63" s="15"/>
      <c r="F63" s="15"/>
      <c r="G63" s="15"/>
      <c r="H63" s="15"/>
      <c r="I63" s="15"/>
      <c r="J63" s="15"/>
      <c r="K63" s="15"/>
      <c r="L63" s="15"/>
      <c r="M63" s="15"/>
    </row>
    <row r="64" spans="2:13" x14ac:dyDescent="0.35">
      <c r="B64" s="15"/>
      <c r="C64" s="15"/>
      <c r="D64" s="15"/>
      <c r="E64" s="15"/>
      <c r="F64" s="15"/>
      <c r="G64" s="15"/>
      <c r="H64" s="15"/>
      <c r="I64" s="15"/>
      <c r="J64" s="15"/>
      <c r="K64" s="15"/>
      <c r="L64" s="15"/>
      <c r="M64" s="15"/>
    </row>
    <row r="65" spans="2:13" x14ac:dyDescent="0.35">
      <c r="B65" s="15"/>
      <c r="C65" s="15"/>
      <c r="D65" s="15"/>
      <c r="E65" s="15"/>
      <c r="F65" s="15"/>
      <c r="G65" s="15"/>
      <c r="H65" s="15"/>
      <c r="I65" s="15"/>
      <c r="J65" s="15"/>
      <c r="K65" s="15"/>
      <c r="L65" s="15"/>
      <c r="M65" s="15"/>
    </row>
    <row r="66" spans="2:13" x14ac:dyDescent="0.35">
      <c r="B66" s="15"/>
      <c r="C66" s="15"/>
      <c r="D66" s="15"/>
      <c r="E66" s="15"/>
      <c r="F66" s="15"/>
      <c r="G66" s="15"/>
      <c r="H66" s="15"/>
      <c r="I66" s="15"/>
      <c r="J66" s="15"/>
      <c r="K66" s="15"/>
      <c r="L66" s="15"/>
      <c r="M66" s="15"/>
    </row>
    <row r="68" spans="2:13" ht="22.05" customHeight="1" x14ac:dyDescent="0.35">
      <c r="B68" s="13" t="s">
        <v>22</v>
      </c>
      <c r="C68" s="13"/>
      <c r="D68" s="13"/>
      <c r="E68" s="13"/>
      <c r="F68" s="13"/>
      <c r="G68" s="13"/>
      <c r="H68" s="13"/>
      <c r="I68" s="13"/>
      <c r="J68" s="13"/>
      <c r="K68" s="13"/>
      <c r="L68" s="13"/>
      <c r="M68" s="13"/>
    </row>
    <row r="69" spans="2:13" x14ac:dyDescent="0.35">
      <c r="B69" s="14" t="s">
        <v>266</v>
      </c>
      <c r="C69" s="14"/>
      <c r="D69" s="14"/>
      <c r="E69" s="14"/>
      <c r="F69" s="14" t="s">
        <v>267</v>
      </c>
      <c r="G69" s="14"/>
      <c r="H69" s="14"/>
      <c r="I69" s="14"/>
      <c r="J69" s="14" t="s">
        <v>268</v>
      </c>
      <c r="K69" s="14"/>
      <c r="L69" s="14"/>
      <c r="M69" s="14"/>
    </row>
    <row r="70" spans="2:13" x14ac:dyDescent="0.35">
      <c r="B70" s="15" t="s">
        <v>287</v>
      </c>
      <c r="C70" s="15"/>
      <c r="D70" s="15"/>
      <c r="E70" s="15"/>
      <c r="F70" s="15" t="s">
        <v>288</v>
      </c>
      <c r="G70" s="15"/>
      <c r="H70" s="15"/>
      <c r="I70" s="15"/>
      <c r="J70" s="15" t="s">
        <v>289</v>
      </c>
      <c r="K70" s="15"/>
      <c r="L70" s="15"/>
      <c r="M70" s="15"/>
    </row>
    <row r="71" spans="2:13" x14ac:dyDescent="0.35">
      <c r="B71" s="15"/>
      <c r="C71" s="15"/>
      <c r="D71" s="15"/>
      <c r="E71" s="15"/>
      <c r="F71" s="15"/>
      <c r="G71" s="15"/>
      <c r="H71" s="15"/>
      <c r="I71" s="15"/>
      <c r="J71" s="15"/>
      <c r="K71" s="15"/>
      <c r="L71" s="15"/>
      <c r="M71" s="15"/>
    </row>
    <row r="72" spans="2:13" x14ac:dyDescent="0.35">
      <c r="B72" s="15"/>
      <c r="C72" s="15"/>
      <c r="D72" s="15"/>
      <c r="E72" s="15"/>
      <c r="F72" s="15"/>
      <c r="G72" s="15"/>
      <c r="H72" s="15"/>
      <c r="I72" s="15"/>
      <c r="J72" s="15"/>
      <c r="K72" s="15"/>
      <c r="L72" s="15"/>
      <c r="M72" s="15"/>
    </row>
    <row r="73" spans="2:13" x14ac:dyDescent="0.35">
      <c r="B73" s="15"/>
      <c r="C73" s="15"/>
      <c r="D73" s="15"/>
      <c r="E73" s="15"/>
      <c r="F73" s="15"/>
      <c r="G73" s="15"/>
      <c r="H73" s="15"/>
      <c r="I73" s="15"/>
      <c r="J73" s="15"/>
      <c r="K73" s="15"/>
      <c r="L73" s="15"/>
      <c r="M73" s="15"/>
    </row>
    <row r="74" spans="2:13" x14ac:dyDescent="0.35">
      <c r="B74" s="15"/>
      <c r="C74" s="15"/>
      <c r="D74" s="15"/>
      <c r="E74" s="15"/>
      <c r="F74" s="15"/>
      <c r="G74" s="15"/>
      <c r="H74" s="15"/>
      <c r="I74" s="15"/>
      <c r="J74" s="15"/>
      <c r="K74" s="15"/>
      <c r="L74" s="15"/>
      <c r="M74" s="15"/>
    </row>
    <row r="76" spans="2:13" ht="22.05" customHeight="1" x14ac:dyDescent="0.35">
      <c r="B76" s="13" t="s">
        <v>25</v>
      </c>
      <c r="C76" s="13"/>
      <c r="D76" s="13"/>
      <c r="E76" s="13"/>
      <c r="F76" s="13"/>
      <c r="G76" s="13"/>
      <c r="H76" s="13"/>
      <c r="I76" s="13"/>
      <c r="J76" s="13"/>
      <c r="K76" s="13"/>
      <c r="L76" s="13"/>
      <c r="M76" s="13"/>
    </row>
    <row r="77" spans="2:13" x14ac:dyDescent="0.35">
      <c r="B77" s="14" t="s">
        <v>266</v>
      </c>
      <c r="C77" s="14"/>
      <c r="D77" s="14"/>
      <c r="E77" s="14"/>
      <c r="F77" s="14" t="s">
        <v>267</v>
      </c>
      <c r="G77" s="14"/>
      <c r="H77" s="14"/>
      <c r="I77" s="14"/>
      <c r="J77" s="14" t="s">
        <v>268</v>
      </c>
      <c r="K77" s="14"/>
      <c r="L77" s="14"/>
      <c r="M77" s="14"/>
    </row>
    <row r="78" spans="2:13" x14ac:dyDescent="0.35">
      <c r="B78" s="15" t="s">
        <v>290</v>
      </c>
      <c r="C78" s="15"/>
      <c r="D78" s="15"/>
      <c r="E78" s="15"/>
      <c r="F78" s="15" t="s">
        <v>291</v>
      </c>
      <c r="G78" s="15"/>
      <c r="H78" s="15"/>
      <c r="I78" s="15"/>
      <c r="J78" s="15" t="s">
        <v>292</v>
      </c>
      <c r="K78" s="15"/>
      <c r="L78" s="15"/>
      <c r="M78" s="15"/>
    </row>
    <row r="79" spans="2:13" x14ac:dyDescent="0.35">
      <c r="B79" s="15"/>
      <c r="C79" s="15"/>
      <c r="D79" s="15"/>
      <c r="E79" s="15"/>
      <c r="F79" s="15"/>
      <c r="G79" s="15"/>
      <c r="H79" s="15"/>
      <c r="I79" s="15"/>
      <c r="J79" s="15"/>
      <c r="K79" s="15"/>
      <c r="L79" s="15"/>
      <c r="M79" s="15"/>
    </row>
    <row r="80" spans="2:13" x14ac:dyDescent="0.35">
      <c r="B80" s="15"/>
      <c r="C80" s="15"/>
      <c r="D80" s="15"/>
      <c r="E80" s="15"/>
      <c r="F80" s="15"/>
      <c r="G80" s="15"/>
      <c r="H80" s="15"/>
      <c r="I80" s="15"/>
      <c r="J80" s="15"/>
      <c r="K80" s="15"/>
      <c r="L80" s="15"/>
      <c r="M80" s="15"/>
    </row>
    <row r="81" spans="2:13" x14ac:dyDescent="0.35">
      <c r="B81" s="15"/>
      <c r="C81" s="15"/>
      <c r="D81" s="15"/>
      <c r="E81" s="15"/>
      <c r="F81" s="15"/>
      <c r="G81" s="15"/>
      <c r="H81" s="15"/>
      <c r="I81" s="15"/>
      <c r="J81" s="15"/>
      <c r="K81" s="15"/>
      <c r="L81" s="15"/>
      <c r="M81" s="15"/>
    </row>
    <row r="82" spans="2:13" x14ac:dyDescent="0.35">
      <c r="B82" s="15"/>
      <c r="C82" s="15"/>
      <c r="D82" s="15"/>
      <c r="E82" s="15"/>
      <c r="F82" s="15"/>
      <c r="G82" s="15"/>
      <c r="H82" s="15"/>
      <c r="I82" s="15"/>
      <c r="J82" s="15"/>
      <c r="K82" s="15"/>
      <c r="L82" s="15"/>
      <c r="M82" s="15"/>
    </row>
    <row r="84" spans="2:13" ht="22.05" customHeight="1" x14ac:dyDescent="0.35">
      <c r="B84" s="13" t="s">
        <v>28</v>
      </c>
      <c r="C84" s="13"/>
      <c r="D84" s="13"/>
      <c r="E84" s="13"/>
      <c r="F84" s="13"/>
      <c r="G84" s="13"/>
      <c r="H84" s="13"/>
      <c r="I84" s="13"/>
      <c r="J84" s="13"/>
      <c r="K84" s="13"/>
      <c r="L84" s="13"/>
      <c r="M84" s="13"/>
    </row>
    <row r="85" spans="2:13" x14ac:dyDescent="0.35">
      <c r="B85" s="14" t="s">
        <v>266</v>
      </c>
      <c r="C85" s="14"/>
      <c r="D85" s="14"/>
      <c r="E85" s="14"/>
      <c r="F85" s="14" t="s">
        <v>267</v>
      </c>
      <c r="G85" s="14"/>
      <c r="H85" s="14"/>
      <c r="I85" s="14"/>
      <c r="J85" s="14" t="s">
        <v>268</v>
      </c>
      <c r="K85" s="14"/>
      <c r="L85" s="14"/>
      <c r="M85" s="14"/>
    </row>
    <row r="86" spans="2:13" x14ac:dyDescent="0.35">
      <c r="B86" s="15" t="s">
        <v>293</v>
      </c>
      <c r="C86" s="15"/>
      <c r="D86" s="15"/>
      <c r="E86" s="15"/>
      <c r="F86" s="15" t="s">
        <v>294</v>
      </c>
      <c r="G86" s="15"/>
      <c r="H86" s="15"/>
      <c r="I86" s="15"/>
      <c r="J86" s="15" t="s">
        <v>295</v>
      </c>
      <c r="K86" s="15"/>
      <c r="L86" s="15"/>
      <c r="M86" s="15"/>
    </row>
    <row r="87" spans="2:13" x14ac:dyDescent="0.35">
      <c r="B87" s="15"/>
      <c r="C87" s="15"/>
      <c r="D87" s="15"/>
      <c r="E87" s="15"/>
      <c r="F87" s="15"/>
      <c r="G87" s="15"/>
      <c r="H87" s="15"/>
      <c r="I87" s="15"/>
      <c r="J87" s="15"/>
      <c r="K87" s="15"/>
      <c r="L87" s="15"/>
      <c r="M87" s="15"/>
    </row>
    <row r="88" spans="2:13" x14ac:dyDescent="0.35">
      <c r="B88" s="15"/>
      <c r="C88" s="15"/>
      <c r="D88" s="15"/>
      <c r="E88" s="15"/>
      <c r="F88" s="15"/>
      <c r="G88" s="15"/>
      <c r="H88" s="15"/>
      <c r="I88" s="15"/>
      <c r="J88" s="15"/>
      <c r="K88" s="15"/>
      <c r="L88" s="15"/>
      <c r="M88" s="15"/>
    </row>
    <row r="89" spans="2:13" x14ac:dyDescent="0.35">
      <c r="B89" s="15"/>
      <c r="C89" s="15"/>
      <c r="D89" s="15"/>
      <c r="E89" s="15"/>
      <c r="F89" s="15"/>
      <c r="G89" s="15"/>
      <c r="H89" s="15"/>
      <c r="I89" s="15"/>
      <c r="J89" s="15"/>
      <c r="K89" s="15"/>
      <c r="L89" s="15"/>
      <c r="M89" s="15"/>
    </row>
    <row r="90" spans="2:13" x14ac:dyDescent="0.35">
      <c r="B90" s="15"/>
      <c r="C90" s="15"/>
      <c r="D90" s="15"/>
      <c r="E90" s="15"/>
      <c r="F90" s="15"/>
      <c r="G90" s="15"/>
      <c r="H90" s="15"/>
      <c r="I90" s="15"/>
      <c r="J90" s="15"/>
      <c r="K90" s="15"/>
      <c r="L90" s="15"/>
      <c r="M90" s="15"/>
    </row>
    <row r="92" spans="2:13" ht="22.05" customHeight="1" x14ac:dyDescent="0.35">
      <c r="B92" s="13" t="s">
        <v>296</v>
      </c>
      <c r="C92" s="13"/>
      <c r="D92" s="13"/>
      <c r="E92" s="13"/>
      <c r="F92" s="13"/>
      <c r="G92" s="13"/>
      <c r="H92" s="13"/>
      <c r="I92" s="13"/>
      <c r="J92" s="13"/>
      <c r="K92" s="13"/>
      <c r="L92" s="13"/>
      <c r="M92" s="13"/>
    </row>
    <row r="93" spans="2:13" x14ac:dyDescent="0.35">
      <c r="B93" s="14" t="s">
        <v>266</v>
      </c>
      <c r="C93" s="14"/>
      <c r="D93" s="14"/>
      <c r="E93" s="14"/>
      <c r="F93" s="14" t="s">
        <v>267</v>
      </c>
      <c r="G93" s="14"/>
      <c r="H93" s="14"/>
      <c r="I93" s="14"/>
      <c r="J93" s="14" t="s">
        <v>268</v>
      </c>
      <c r="K93" s="14"/>
      <c r="L93" s="14"/>
      <c r="M93" s="14"/>
    </row>
    <row r="94" spans="2:13" x14ac:dyDescent="0.35">
      <c r="B94" s="15" t="s">
        <v>297</v>
      </c>
      <c r="C94" s="15"/>
      <c r="D94" s="15"/>
      <c r="E94" s="15"/>
      <c r="F94" s="15" t="s">
        <v>298</v>
      </c>
      <c r="G94" s="15"/>
      <c r="H94" s="15"/>
      <c r="I94" s="15"/>
      <c r="J94" s="15" t="s">
        <v>299</v>
      </c>
      <c r="K94" s="15"/>
      <c r="L94" s="15"/>
      <c r="M94" s="15"/>
    </row>
    <row r="95" spans="2:13" x14ac:dyDescent="0.35">
      <c r="B95" s="15"/>
      <c r="C95" s="15"/>
      <c r="D95" s="15"/>
      <c r="E95" s="15"/>
      <c r="F95" s="15"/>
      <c r="G95" s="15"/>
      <c r="H95" s="15"/>
      <c r="I95" s="15"/>
      <c r="J95" s="15"/>
      <c r="K95" s="15"/>
      <c r="L95" s="15"/>
      <c r="M95" s="15"/>
    </row>
    <row r="96" spans="2:13" x14ac:dyDescent="0.35">
      <c r="B96" s="15"/>
      <c r="C96" s="15"/>
      <c r="D96" s="15"/>
      <c r="E96" s="15"/>
      <c r="F96" s="15"/>
      <c r="G96" s="15"/>
      <c r="H96" s="15"/>
      <c r="I96" s="15"/>
      <c r="J96" s="15"/>
      <c r="K96" s="15"/>
      <c r="L96" s="15"/>
      <c r="M96" s="15"/>
    </row>
    <row r="97" spans="2:13" x14ac:dyDescent="0.35">
      <c r="B97" s="15"/>
      <c r="C97" s="15"/>
      <c r="D97" s="15"/>
      <c r="E97" s="15"/>
      <c r="F97" s="15"/>
      <c r="G97" s="15"/>
      <c r="H97" s="15"/>
      <c r="I97" s="15"/>
      <c r="J97" s="15"/>
      <c r="K97" s="15"/>
      <c r="L97" s="15"/>
      <c r="M97" s="15"/>
    </row>
    <row r="98" spans="2:13" x14ac:dyDescent="0.35">
      <c r="B98" s="15"/>
      <c r="C98" s="15"/>
      <c r="D98" s="15"/>
      <c r="E98" s="15"/>
      <c r="F98" s="15"/>
      <c r="G98" s="15"/>
      <c r="H98" s="15"/>
      <c r="I98" s="15"/>
      <c r="J98" s="15"/>
      <c r="K98" s="15"/>
      <c r="L98" s="15"/>
      <c r="M98" s="15"/>
    </row>
    <row r="100" spans="2:13" x14ac:dyDescent="0.35">
      <c r="B100" s="17" t="s">
        <v>300</v>
      </c>
      <c r="C100" s="17"/>
      <c r="D100" s="17"/>
      <c r="E100" s="17"/>
      <c r="F100" s="17"/>
      <c r="G100" s="17"/>
      <c r="H100" s="17"/>
      <c r="I100" s="17"/>
      <c r="J100" s="17"/>
      <c r="K100" s="17"/>
      <c r="L100" s="17"/>
      <c r="M100" s="17"/>
    </row>
    <row r="101" spans="2:13" x14ac:dyDescent="0.35">
      <c r="B101" s="17"/>
      <c r="C101" s="17"/>
      <c r="D101" s="17"/>
      <c r="E101" s="17"/>
      <c r="F101" s="17"/>
      <c r="G101" s="17"/>
      <c r="H101" s="17"/>
      <c r="I101" s="17"/>
      <c r="J101" s="17"/>
      <c r="K101" s="17"/>
      <c r="L101" s="17"/>
      <c r="M101" s="17"/>
    </row>
  </sheetData>
  <mergeCells count="82">
    <mergeCell ref="B94:E98"/>
    <mergeCell ref="F94:I98"/>
    <mergeCell ref="J94:M98"/>
    <mergeCell ref="B100:M101"/>
    <mergeCell ref="B86:E90"/>
    <mergeCell ref="F86:I90"/>
    <mergeCell ref="J86:M90"/>
    <mergeCell ref="B92:M92"/>
    <mergeCell ref="B93:E93"/>
    <mergeCell ref="F93:I93"/>
    <mergeCell ref="J93:M93"/>
    <mergeCell ref="B78:E82"/>
    <mergeCell ref="F78:I82"/>
    <mergeCell ref="J78:M82"/>
    <mergeCell ref="B84:M84"/>
    <mergeCell ref="B85:E85"/>
    <mergeCell ref="F85:I85"/>
    <mergeCell ref="J85:M85"/>
    <mergeCell ref="B70:E74"/>
    <mergeCell ref="F70:I74"/>
    <mergeCell ref="J70:M74"/>
    <mergeCell ref="B76:M76"/>
    <mergeCell ref="B77:E77"/>
    <mergeCell ref="F77:I77"/>
    <mergeCell ref="J77:M77"/>
    <mergeCell ref="B62:E66"/>
    <mergeCell ref="F62:I66"/>
    <mergeCell ref="J62:M66"/>
    <mergeCell ref="B68:M68"/>
    <mergeCell ref="B69:E69"/>
    <mergeCell ref="F69:I69"/>
    <mergeCell ref="J69:M69"/>
    <mergeCell ref="B54:E58"/>
    <mergeCell ref="F54:I58"/>
    <mergeCell ref="J54:M58"/>
    <mergeCell ref="B60:M60"/>
    <mergeCell ref="B61:E61"/>
    <mergeCell ref="F61:I61"/>
    <mergeCell ref="J61:M61"/>
    <mergeCell ref="B46:E50"/>
    <mergeCell ref="F46:I50"/>
    <mergeCell ref="J46:M50"/>
    <mergeCell ref="B52:M52"/>
    <mergeCell ref="B53:E53"/>
    <mergeCell ref="F53:I53"/>
    <mergeCell ref="J53:M53"/>
    <mergeCell ref="B38:E42"/>
    <mergeCell ref="F38:I42"/>
    <mergeCell ref="J38:M42"/>
    <mergeCell ref="B44:M44"/>
    <mergeCell ref="B45:E45"/>
    <mergeCell ref="F45:I45"/>
    <mergeCell ref="J45:M45"/>
    <mergeCell ref="B30:E34"/>
    <mergeCell ref="F30:I34"/>
    <mergeCell ref="J30:M34"/>
    <mergeCell ref="B36:M36"/>
    <mergeCell ref="B37:E37"/>
    <mergeCell ref="F37:I37"/>
    <mergeCell ref="J37:M37"/>
    <mergeCell ref="B22:E26"/>
    <mergeCell ref="F22:I26"/>
    <mergeCell ref="J22:M26"/>
    <mergeCell ref="B28:M28"/>
    <mergeCell ref="B29:E29"/>
    <mergeCell ref="F29:I29"/>
    <mergeCell ref="J29:M29"/>
    <mergeCell ref="B12:D13"/>
    <mergeCell ref="F12:H13"/>
    <mergeCell ref="J12:L13"/>
    <mergeCell ref="B15:D16"/>
    <mergeCell ref="B20:M20"/>
    <mergeCell ref="B21:E21"/>
    <mergeCell ref="F21:I21"/>
    <mergeCell ref="J21:M21"/>
    <mergeCell ref="B4:M4"/>
    <mergeCell ref="B6:D7"/>
    <mergeCell ref="F6:H7"/>
    <mergeCell ref="J6:L7"/>
    <mergeCell ref="B9:D10"/>
    <mergeCell ref="F9:H10"/>
    <mergeCell ref="J9:L10"/>
  </mergeCells>
  <hyperlinks>
    <hyperlink ref="B6:D7" location="'Balance_Analyse'!B20" display="Immobilisation" xr:uid="{AEFC2053-30CC-44ED-BA7A-DF8D201AEB2A}"/>
    <hyperlink ref="F6:H7" location="'Balance_Analyse'!B28" display="Fournisseurs - Achats" xr:uid="{1686182D-0B09-4CD5-8F91-3EAB1DB06FB5}"/>
    <hyperlink ref="J6:L7" location="'Balance_Analyse'!B36" display="Clients - Ventes" xr:uid="{7CDD04ED-DC7A-4598-842B-AC4010CD95AD}"/>
    <hyperlink ref="B9:D10" location="'Balance_Analyse'!B44" display="Stocks" xr:uid="{E9C9C422-EE66-422E-B492-4C13921F645B}"/>
    <hyperlink ref="F9:H10" location="'Balance_Analyse'!B52" display="Déplacements - Mobilité" xr:uid="{CEC9265D-0D6C-4B20-9684-5E59F223EEA9}"/>
    <hyperlink ref="J9:L10" location="'Balance_Analyse'!B60" display="Énergie - Déchets - Eau" xr:uid="{1D5F1D76-BBF2-4AAC-8561-AE2FBEFD87A7}"/>
    <hyperlink ref="B12:D13" location="'Balance_Analyse'!B68" display="Finance - Trésorerie" xr:uid="{C6B27CA9-8703-411C-9982-44CE48A06F35}"/>
    <hyperlink ref="F12:H13" location="'Balance_Analyse'!B76" display="Personnel - RH" xr:uid="{740AC492-CDCD-421A-8168-A1D2C63D3044}"/>
    <hyperlink ref="J12:L13" location="'Balance_Analyse'!B84" display="Emballages" xr:uid="{2F5D899A-CA4C-42C2-80D9-DF8D6C389E63}"/>
    <hyperlink ref="B15:D16" location="'Balance_Analyse'!B92" display="Autres comptes" xr:uid="{9486D3BC-B143-419B-AD68-371827261DEB}"/>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D00BE-623E-4B56-A358-EB3045BEFB09}">
  <sheetPr codeName="Feuil4"/>
  <dimension ref="AC1:AX155"/>
  <sheetViews>
    <sheetView showGridLines="0" workbookViewId="0"/>
  </sheetViews>
  <sheetFormatPr baseColWidth="10" defaultRowHeight="15" x14ac:dyDescent="0.35"/>
  <cols>
    <col min="1" max="16384" width="11.5546875" style="1"/>
  </cols>
  <sheetData>
    <row r="1" spans="29:50" x14ac:dyDescent="0.35">
      <c r="AC1" s="2" t="s">
        <v>0</v>
      </c>
      <c r="AD1" s="2" t="s">
        <v>1</v>
      </c>
      <c r="AE1" s="2" t="s">
        <v>2</v>
      </c>
      <c r="AG1" s="2" t="s">
        <v>30</v>
      </c>
      <c r="AH1" s="2" t="s">
        <v>31</v>
      </c>
      <c r="AI1" s="2" t="s">
        <v>32</v>
      </c>
      <c r="AK1" s="2" t="s">
        <v>31</v>
      </c>
      <c r="AL1" s="2" t="s">
        <v>32</v>
      </c>
      <c r="AN1" s="2" t="s">
        <v>206</v>
      </c>
      <c r="AO1" s="2" t="s">
        <v>207</v>
      </c>
      <c r="AP1" s="2" t="s">
        <v>208</v>
      </c>
      <c r="AQ1" s="2" t="s">
        <v>209</v>
      </c>
      <c r="AR1" s="2" t="s">
        <v>210</v>
      </c>
      <c r="AT1" s="2" t="s">
        <v>206</v>
      </c>
      <c r="AU1" s="2" t="s">
        <v>207</v>
      </c>
      <c r="AV1" s="2" t="s">
        <v>244</v>
      </c>
      <c r="AX1" s="1" t="s">
        <v>249</v>
      </c>
    </row>
    <row r="2" spans="29:50" x14ac:dyDescent="0.35">
      <c r="AC2" s="1" t="s">
        <v>3</v>
      </c>
      <c r="AD2" s="1" t="s">
        <v>4</v>
      </c>
      <c r="AE2" s="1" t="s">
        <v>5</v>
      </c>
      <c r="AG2" s="1" t="s">
        <v>3</v>
      </c>
      <c r="AH2" s="1" t="s">
        <v>33</v>
      </c>
      <c r="AI2" s="1" t="s">
        <v>34</v>
      </c>
      <c r="AK2" s="1" t="s">
        <v>33</v>
      </c>
      <c r="AL2" s="1" t="s">
        <v>190</v>
      </c>
      <c r="AN2" s="1">
        <v>1</v>
      </c>
      <c r="AO2" s="1">
        <v>215</v>
      </c>
      <c r="AP2" s="1" t="s">
        <v>211</v>
      </c>
      <c r="AQ2" s="1" t="s">
        <v>212</v>
      </c>
      <c r="AR2" s="1" t="s">
        <v>213</v>
      </c>
      <c r="AT2" s="1">
        <v>1</v>
      </c>
      <c r="AU2" s="1">
        <v>606880</v>
      </c>
      <c r="AV2" s="1" t="s">
        <v>27</v>
      </c>
    </row>
    <row r="3" spans="29:50" x14ac:dyDescent="0.35">
      <c r="AC3" s="1" t="s">
        <v>6</v>
      </c>
      <c r="AD3" s="1" t="s">
        <v>7</v>
      </c>
      <c r="AE3" s="1" t="s">
        <v>8</v>
      </c>
      <c r="AG3" s="1" t="s">
        <v>3</v>
      </c>
      <c r="AH3" s="1" t="s">
        <v>33</v>
      </c>
      <c r="AI3" s="1" t="s">
        <v>35</v>
      </c>
      <c r="AK3" s="1" t="s">
        <v>33</v>
      </c>
      <c r="AL3" s="1" t="s">
        <v>191</v>
      </c>
      <c r="AN3" s="1">
        <v>2</v>
      </c>
      <c r="AO3" s="1">
        <v>2183</v>
      </c>
      <c r="AP3" s="1" t="s">
        <v>214</v>
      </c>
      <c r="AQ3" s="1" t="s">
        <v>215</v>
      </c>
      <c r="AR3" s="1" t="s">
        <v>216</v>
      </c>
      <c r="AT3" s="1">
        <v>2</v>
      </c>
      <c r="AU3" s="1">
        <v>6068</v>
      </c>
      <c r="AV3" s="1" t="s">
        <v>27</v>
      </c>
    </row>
    <row r="4" spans="29:50" x14ac:dyDescent="0.35">
      <c r="AC4" s="1" t="s">
        <v>9</v>
      </c>
      <c r="AD4" s="1" t="s">
        <v>10</v>
      </c>
      <c r="AE4" s="1" t="s">
        <v>11</v>
      </c>
      <c r="AG4" s="1" t="s">
        <v>3</v>
      </c>
      <c r="AH4" s="1" t="s">
        <v>33</v>
      </c>
      <c r="AI4" s="1" t="s">
        <v>36</v>
      </c>
      <c r="AK4" s="1" t="s">
        <v>33</v>
      </c>
      <c r="AL4" s="1" t="s">
        <v>192</v>
      </c>
      <c r="AN4" s="1">
        <v>3</v>
      </c>
      <c r="AO4" s="1">
        <v>401</v>
      </c>
      <c r="AP4" s="1" t="s">
        <v>217</v>
      </c>
      <c r="AQ4" s="1" t="s">
        <v>218</v>
      </c>
      <c r="AR4" s="1" t="s">
        <v>219</v>
      </c>
      <c r="AT4" s="1">
        <v>3</v>
      </c>
      <c r="AU4" s="1">
        <v>606</v>
      </c>
      <c r="AV4" s="1" t="s">
        <v>18</v>
      </c>
    </row>
    <row r="5" spans="29:50" x14ac:dyDescent="0.35">
      <c r="AC5" s="1" t="s">
        <v>12</v>
      </c>
      <c r="AD5" s="1" t="s">
        <v>13</v>
      </c>
      <c r="AE5" s="1" t="s">
        <v>14</v>
      </c>
      <c r="AG5" s="1" t="s">
        <v>3</v>
      </c>
      <c r="AH5" s="1" t="s">
        <v>33</v>
      </c>
      <c r="AI5" s="1" t="s">
        <v>37</v>
      </c>
      <c r="AK5" s="1" t="s">
        <v>33</v>
      </c>
      <c r="AL5" s="1" t="s">
        <v>193</v>
      </c>
      <c r="AN5" s="1">
        <v>4</v>
      </c>
      <c r="AO5" s="1">
        <v>411</v>
      </c>
      <c r="AP5" s="1" t="s">
        <v>220</v>
      </c>
      <c r="AQ5" s="1" t="s">
        <v>221</v>
      </c>
      <c r="AR5" s="1" t="s">
        <v>222</v>
      </c>
      <c r="AT5" s="1">
        <v>4</v>
      </c>
      <c r="AU5" s="1">
        <v>164</v>
      </c>
      <c r="AV5" s="1" t="s">
        <v>21</v>
      </c>
    </row>
    <row r="6" spans="29:50" x14ac:dyDescent="0.35">
      <c r="AC6" s="1" t="s">
        <v>15</v>
      </c>
      <c r="AD6" s="1" t="s">
        <v>16</v>
      </c>
      <c r="AE6" s="1" t="s">
        <v>17</v>
      </c>
      <c r="AG6" s="1" t="s">
        <v>3</v>
      </c>
      <c r="AH6" s="1" t="s">
        <v>38</v>
      </c>
      <c r="AI6" s="1" t="s">
        <v>39</v>
      </c>
      <c r="AK6" s="1" t="s">
        <v>33</v>
      </c>
      <c r="AL6" s="1" t="s">
        <v>194</v>
      </c>
      <c r="AN6" s="1">
        <v>5</v>
      </c>
      <c r="AO6" s="1">
        <v>322</v>
      </c>
      <c r="AP6" s="1" t="s">
        <v>223</v>
      </c>
      <c r="AQ6" s="1" t="s">
        <v>224</v>
      </c>
      <c r="AR6" s="1" t="s">
        <v>225</v>
      </c>
      <c r="AT6" s="1">
        <v>5</v>
      </c>
      <c r="AU6" s="1">
        <v>20</v>
      </c>
      <c r="AV6" s="1" t="s">
        <v>3</v>
      </c>
    </row>
    <row r="7" spans="29:50" x14ac:dyDescent="0.35">
      <c r="AC7" s="1" t="s">
        <v>18</v>
      </c>
      <c r="AD7" s="1" t="s">
        <v>19</v>
      </c>
      <c r="AE7" s="1" t="s">
        <v>20</v>
      </c>
      <c r="AG7" s="1" t="s">
        <v>3</v>
      </c>
      <c r="AH7" s="1" t="s">
        <v>38</v>
      </c>
      <c r="AI7" s="1" t="s">
        <v>40</v>
      </c>
      <c r="AK7" s="1" t="s">
        <v>33</v>
      </c>
      <c r="AL7" s="1" t="s">
        <v>195</v>
      </c>
      <c r="AN7" s="1">
        <v>6</v>
      </c>
      <c r="AO7" s="1">
        <v>3220</v>
      </c>
      <c r="AP7" s="1" t="s">
        <v>226</v>
      </c>
      <c r="AQ7" s="1" t="s">
        <v>227</v>
      </c>
      <c r="AR7" s="1" t="s">
        <v>228</v>
      </c>
      <c r="AT7" s="1">
        <v>6</v>
      </c>
      <c r="AU7" s="1">
        <v>21</v>
      </c>
      <c r="AV7" s="1" t="s">
        <v>3</v>
      </c>
    </row>
    <row r="8" spans="29:50" x14ac:dyDescent="0.35">
      <c r="AC8" s="1" t="s">
        <v>21</v>
      </c>
      <c r="AD8" s="1" t="s">
        <v>22</v>
      </c>
      <c r="AE8" s="1" t="s">
        <v>23</v>
      </c>
      <c r="AG8" s="1" t="s">
        <v>3</v>
      </c>
      <c r="AH8" s="1" t="s">
        <v>38</v>
      </c>
      <c r="AI8" s="1" t="s">
        <v>41</v>
      </c>
      <c r="AK8" s="1" t="s">
        <v>38</v>
      </c>
      <c r="AL8" s="1" t="s">
        <v>196</v>
      </c>
      <c r="AN8" s="1">
        <v>7</v>
      </c>
      <c r="AO8" s="1">
        <v>32200</v>
      </c>
      <c r="AP8" s="1" t="s">
        <v>229</v>
      </c>
      <c r="AQ8" s="1" t="s">
        <v>230</v>
      </c>
      <c r="AR8" s="1" t="s">
        <v>231</v>
      </c>
      <c r="AT8" s="1">
        <v>7</v>
      </c>
      <c r="AU8" s="1">
        <v>22</v>
      </c>
      <c r="AV8" s="1" t="s">
        <v>3</v>
      </c>
    </row>
    <row r="9" spans="29:50" x14ac:dyDescent="0.35">
      <c r="AC9" s="1" t="s">
        <v>24</v>
      </c>
      <c r="AD9" s="1" t="s">
        <v>25</v>
      </c>
      <c r="AE9" s="1" t="s">
        <v>26</v>
      </c>
      <c r="AG9" s="1" t="s">
        <v>3</v>
      </c>
      <c r="AH9" s="1" t="s">
        <v>38</v>
      </c>
      <c r="AI9" s="1" t="s">
        <v>42</v>
      </c>
      <c r="AK9" s="1" t="s">
        <v>38</v>
      </c>
      <c r="AL9" s="1" t="s">
        <v>197</v>
      </c>
      <c r="AN9" s="1">
        <v>8</v>
      </c>
      <c r="AO9" s="1">
        <v>625</v>
      </c>
      <c r="AP9" s="1" t="s">
        <v>232</v>
      </c>
      <c r="AQ9" s="1" t="s">
        <v>233</v>
      </c>
      <c r="AR9" s="1" t="s">
        <v>234</v>
      </c>
      <c r="AT9" s="1">
        <v>8</v>
      </c>
      <c r="AU9" s="1">
        <v>23</v>
      </c>
      <c r="AV9" s="1" t="s">
        <v>3</v>
      </c>
    </row>
    <row r="10" spans="29:50" x14ac:dyDescent="0.35">
      <c r="AC10" s="1" t="s">
        <v>27</v>
      </c>
      <c r="AD10" s="1" t="s">
        <v>28</v>
      </c>
      <c r="AE10" s="1" t="s">
        <v>29</v>
      </c>
      <c r="AG10" s="1" t="s">
        <v>3</v>
      </c>
      <c r="AH10" s="1" t="s">
        <v>38</v>
      </c>
      <c r="AI10" s="1" t="s">
        <v>43</v>
      </c>
      <c r="AK10" s="1" t="s">
        <v>38</v>
      </c>
      <c r="AL10" s="1" t="s">
        <v>198</v>
      </c>
      <c r="AN10" s="1">
        <v>9</v>
      </c>
      <c r="AO10" s="1">
        <v>606</v>
      </c>
      <c r="AP10" s="1" t="s">
        <v>235</v>
      </c>
      <c r="AQ10" s="1" t="s">
        <v>236</v>
      </c>
      <c r="AR10" s="1" t="s">
        <v>237</v>
      </c>
      <c r="AT10" s="1">
        <v>9</v>
      </c>
      <c r="AU10" s="1">
        <v>28</v>
      </c>
      <c r="AV10" s="1" t="s">
        <v>3</v>
      </c>
    </row>
    <row r="11" spans="29:50" x14ac:dyDescent="0.35">
      <c r="AG11" s="1" t="s">
        <v>3</v>
      </c>
      <c r="AH11" s="1" t="s">
        <v>44</v>
      </c>
      <c r="AI11" s="1" t="s">
        <v>45</v>
      </c>
      <c r="AK11" s="1" t="s">
        <v>38</v>
      </c>
      <c r="AL11" s="1" t="s">
        <v>199</v>
      </c>
      <c r="AN11" s="1">
        <v>10</v>
      </c>
      <c r="AO11" s="1">
        <v>164</v>
      </c>
      <c r="AP11" s="1" t="s">
        <v>238</v>
      </c>
      <c r="AQ11" s="1" t="s">
        <v>239</v>
      </c>
      <c r="AR11" s="1" t="s">
        <v>240</v>
      </c>
      <c r="AT11" s="1">
        <v>10</v>
      </c>
      <c r="AU11" s="1">
        <v>40</v>
      </c>
      <c r="AV11" s="1" t="s">
        <v>6</v>
      </c>
    </row>
    <row r="12" spans="29:50" x14ac:dyDescent="0.35">
      <c r="AG12" s="1" t="s">
        <v>3</v>
      </c>
      <c r="AH12" s="1" t="s">
        <v>44</v>
      </c>
      <c r="AI12" s="1" t="s">
        <v>46</v>
      </c>
      <c r="AK12" s="1" t="s">
        <v>38</v>
      </c>
      <c r="AL12" s="1" t="s">
        <v>200</v>
      </c>
      <c r="AN12" s="1">
        <v>11</v>
      </c>
      <c r="AO12" s="1">
        <v>606880</v>
      </c>
      <c r="AP12" s="1" t="s">
        <v>241</v>
      </c>
      <c r="AQ12" s="1" t="s">
        <v>242</v>
      </c>
      <c r="AR12" s="1" t="s">
        <v>243</v>
      </c>
      <c r="AT12" s="1">
        <v>11</v>
      </c>
      <c r="AU12" s="1">
        <v>41</v>
      </c>
      <c r="AV12" s="1" t="s">
        <v>9</v>
      </c>
    </row>
    <row r="13" spans="29:50" x14ac:dyDescent="0.35">
      <c r="AG13" s="1" t="s">
        <v>3</v>
      </c>
      <c r="AH13" s="1" t="s">
        <v>44</v>
      </c>
      <c r="AI13" s="1" t="s">
        <v>47</v>
      </c>
      <c r="AK13" s="1" t="s">
        <v>44</v>
      </c>
      <c r="AL13" s="1" t="s">
        <v>201</v>
      </c>
      <c r="AT13" s="1">
        <v>12</v>
      </c>
      <c r="AU13" s="1">
        <v>32</v>
      </c>
      <c r="AV13" s="1" t="s">
        <v>12</v>
      </c>
    </row>
    <row r="14" spans="29:50" x14ac:dyDescent="0.35">
      <c r="AG14" s="1" t="s">
        <v>3</v>
      </c>
      <c r="AH14" s="1" t="s">
        <v>44</v>
      </c>
      <c r="AI14" s="1" t="s">
        <v>48</v>
      </c>
      <c r="AK14" s="1" t="s">
        <v>44</v>
      </c>
      <c r="AL14" s="1" t="s">
        <v>202</v>
      </c>
      <c r="AT14" s="1">
        <v>13</v>
      </c>
      <c r="AU14" s="1">
        <v>60</v>
      </c>
      <c r="AV14" s="1" t="s">
        <v>245</v>
      </c>
    </row>
    <row r="15" spans="29:50" x14ac:dyDescent="0.35">
      <c r="AG15" s="1" t="s">
        <v>3</v>
      </c>
      <c r="AH15" s="1" t="s">
        <v>44</v>
      </c>
      <c r="AI15" s="1" t="s">
        <v>49</v>
      </c>
      <c r="AK15" s="1" t="s">
        <v>44</v>
      </c>
      <c r="AL15" s="1" t="s">
        <v>203</v>
      </c>
      <c r="AT15" s="1">
        <v>14</v>
      </c>
      <c r="AU15" s="1">
        <v>61</v>
      </c>
      <c r="AV15" s="1" t="s">
        <v>246</v>
      </c>
    </row>
    <row r="16" spans="29:50" x14ac:dyDescent="0.35">
      <c r="AG16" s="1" t="s">
        <v>6</v>
      </c>
      <c r="AH16" s="1" t="s">
        <v>33</v>
      </c>
      <c r="AI16" s="1" t="s">
        <v>50</v>
      </c>
      <c r="AK16" s="1" t="s">
        <v>44</v>
      </c>
      <c r="AL16" s="1" t="s">
        <v>204</v>
      </c>
      <c r="AT16" s="1">
        <v>15</v>
      </c>
      <c r="AU16" s="1">
        <v>62</v>
      </c>
      <c r="AV16" s="1" t="s">
        <v>24</v>
      </c>
    </row>
    <row r="17" spans="33:48" x14ac:dyDescent="0.35">
      <c r="AG17" s="1" t="s">
        <v>6</v>
      </c>
      <c r="AH17" s="1" t="s">
        <v>33</v>
      </c>
      <c r="AI17" s="1" t="s">
        <v>51</v>
      </c>
      <c r="AK17" s="1" t="s">
        <v>44</v>
      </c>
      <c r="AL17" s="1" t="s">
        <v>205</v>
      </c>
      <c r="AT17" s="1">
        <v>16</v>
      </c>
      <c r="AU17" s="1">
        <v>63</v>
      </c>
      <c r="AV17" s="1" t="s">
        <v>247</v>
      </c>
    </row>
    <row r="18" spans="33:48" x14ac:dyDescent="0.35">
      <c r="AG18" s="1" t="s">
        <v>6</v>
      </c>
      <c r="AH18" s="1" t="s">
        <v>33</v>
      </c>
      <c r="AI18" s="1" t="s">
        <v>52</v>
      </c>
      <c r="AT18" s="1">
        <v>17</v>
      </c>
      <c r="AU18" s="1">
        <v>64</v>
      </c>
      <c r="AV18" s="1" t="s">
        <v>248</v>
      </c>
    </row>
    <row r="19" spans="33:48" x14ac:dyDescent="0.35">
      <c r="AG19" s="1" t="s">
        <v>6</v>
      </c>
      <c r="AH19" s="1" t="s">
        <v>33</v>
      </c>
      <c r="AI19" s="1" t="s">
        <v>53</v>
      </c>
    </row>
    <row r="20" spans="33:48" x14ac:dyDescent="0.35">
      <c r="AG20" s="1" t="s">
        <v>6</v>
      </c>
      <c r="AH20" s="1" t="s">
        <v>33</v>
      </c>
      <c r="AI20" s="1" t="s">
        <v>54</v>
      </c>
    </row>
    <row r="21" spans="33:48" x14ac:dyDescent="0.35">
      <c r="AG21" s="1" t="s">
        <v>6</v>
      </c>
      <c r="AH21" s="1" t="s">
        <v>33</v>
      </c>
      <c r="AI21" s="1" t="s">
        <v>55</v>
      </c>
    </row>
    <row r="22" spans="33:48" x14ac:dyDescent="0.35">
      <c r="AG22" s="1" t="s">
        <v>6</v>
      </c>
      <c r="AH22" s="1" t="s">
        <v>33</v>
      </c>
      <c r="AI22" s="1" t="s">
        <v>56</v>
      </c>
    </row>
    <row r="23" spans="33:48" x14ac:dyDescent="0.35">
      <c r="AG23" s="1" t="s">
        <v>6</v>
      </c>
      <c r="AH23" s="1" t="s">
        <v>33</v>
      </c>
      <c r="AI23" s="1" t="s">
        <v>57</v>
      </c>
    </row>
    <row r="24" spans="33:48" x14ac:dyDescent="0.35">
      <c r="AG24" s="1" t="s">
        <v>6</v>
      </c>
      <c r="AH24" s="1" t="s">
        <v>33</v>
      </c>
      <c r="AI24" s="1" t="s">
        <v>58</v>
      </c>
    </row>
    <row r="25" spans="33:48" x14ac:dyDescent="0.35">
      <c r="AG25" s="1" t="s">
        <v>6</v>
      </c>
      <c r="AH25" s="1" t="s">
        <v>33</v>
      </c>
      <c r="AI25" s="1" t="s">
        <v>59</v>
      </c>
    </row>
    <row r="26" spans="33:48" x14ac:dyDescent="0.35">
      <c r="AG26" s="1" t="s">
        <v>6</v>
      </c>
      <c r="AH26" s="1" t="s">
        <v>33</v>
      </c>
      <c r="AI26" s="1" t="s">
        <v>60</v>
      </c>
    </row>
    <row r="27" spans="33:48" x14ac:dyDescent="0.35">
      <c r="AG27" s="1" t="s">
        <v>6</v>
      </c>
      <c r="AH27" s="1" t="s">
        <v>38</v>
      </c>
      <c r="AI27" s="1" t="s">
        <v>61</v>
      </c>
    </row>
    <row r="28" spans="33:48" x14ac:dyDescent="0.35">
      <c r="AG28" s="1" t="s">
        <v>6</v>
      </c>
      <c r="AH28" s="1" t="s">
        <v>38</v>
      </c>
      <c r="AI28" s="1" t="s">
        <v>62</v>
      </c>
    </row>
    <row r="29" spans="33:48" x14ac:dyDescent="0.35">
      <c r="AG29" s="1" t="s">
        <v>6</v>
      </c>
      <c r="AH29" s="1" t="s">
        <v>38</v>
      </c>
      <c r="AI29" s="1" t="s">
        <v>63</v>
      </c>
    </row>
    <row r="30" spans="33:48" x14ac:dyDescent="0.35">
      <c r="AG30" s="1" t="s">
        <v>6</v>
      </c>
      <c r="AH30" s="1" t="s">
        <v>38</v>
      </c>
      <c r="AI30" s="1" t="s">
        <v>64</v>
      </c>
    </row>
    <row r="31" spans="33:48" x14ac:dyDescent="0.35">
      <c r="AG31" s="1" t="s">
        <v>6</v>
      </c>
      <c r="AH31" s="1" t="s">
        <v>38</v>
      </c>
      <c r="AI31" s="1" t="s">
        <v>65</v>
      </c>
    </row>
    <row r="32" spans="33:48" x14ac:dyDescent="0.35">
      <c r="AG32" s="1" t="s">
        <v>6</v>
      </c>
      <c r="AH32" s="1" t="s">
        <v>38</v>
      </c>
      <c r="AI32" s="1" t="s">
        <v>66</v>
      </c>
    </row>
    <row r="33" spans="33:35" x14ac:dyDescent="0.35">
      <c r="AG33" s="1" t="s">
        <v>6</v>
      </c>
      <c r="AH33" s="1" t="s">
        <v>38</v>
      </c>
      <c r="AI33" s="1" t="s">
        <v>67</v>
      </c>
    </row>
    <row r="34" spans="33:35" x14ac:dyDescent="0.35">
      <c r="AG34" s="1" t="s">
        <v>6</v>
      </c>
      <c r="AH34" s="1" t="s">
        <v>38</v>
      </c>
      <c r="AI34" s="1" t="s">
        <v>68</v>
      </c>
    </row>
    <row r="35" spans="33:35" x14ac:dyDescent="0.35">
      <c r="AG35" s="1" t="s">
        <v>6</v>
      </c>
      <c r="AH35" s="1" t="s">
        <v>38</v>
      </c>
      <c r="AI35" s="1" t="s">
        <v>69</v>
      </c>
    </row>
    <row r="36" spans="33:35" x14ac:dyDescent="0.35">
      <c r="AG36" s="1" t="s">
        <v>6</v>
      </c>
      <c r="AH36" s="1" t="s">
        <v>44</v>
      </c>
      <c r="AI36" s="1" t="s">
        <v>70</v>
      </c>
    </row>
    <row r="37" spans="33:35" x14ac:dyDescent="0.35">
      <c r="AG37" s="1" t="s">
        <v>6</v>
      </c>
      <c r="AH37" s="1" t="s">
        <v>44</v>
      </c>
      <c r="AI37" s="1" t="s">
        <v>71</v>
      </c>
    </row>
    <row r="38" spans="33:35" x14ac:dyDescent="0.35">
      <c r="AG38" s="1" t="s">
        <v>6</v>
      </c>
      <c r="AH38" s="1" t="s">
        <v>44</v>
      </c>
      <c r="AI38" s="1" t="s">
        <v>72</v>
      </c>
    </row>
    <row r="39" spans="33:35" x14ac:dyDescent="0.35">
      <c r="AG39" s="1" t="s">
        <v>6</v>
      </c>
      <c r="AH39" s="1" t="s">
        <v>44</v>
      </c>
      <c r="AI39" s="1" t="s">
        <v>73</v>
      </c>
    </row>
    <row r="40" spans="33:35" x14ac:dyDescent="0.35">
      <c r="AG40" s="1" t="s">
        <v>6</v>
      </c>
      <c r="AH40" s="1" t="s">
        <v>44</v>
      </c>
      <c r="AI40" s="1" t="s">
        <v>74</v>
      </c>
    </row>
    <row r="41" spans="33:35" x14ac:dyDescent="0.35">
      <c r="AG41" s="1" t="s">
        <v>6</v>
      </c>
      <c r="AH41" s="1" t="s">
        <v>44</v>
      </c>
      <c r="AI41" s="1" t="s">
        <v>75</v>
      </c>
    </row>
    <row r="42" spans="33:35" x14ac:dyDescent="0.35">
      <c r="AG42" s="1" t="s">
        <v>6</v>
      </c>
      <c r="AH42" s="1" t="s">
        <v>44</v>
      </c>
      <c r="AI42" s="1" t="s">
        <v>76</v>
      </c>
    </row>
    <row r="43" spans="33:35" x14ac:dyDescent="0.35">
      <c r="AG43" s="1" t="s">
        <v>6</v>
      </c>
      <c r="AH43" s="1" t="s">
        <v>44</v>
      </c>
      <c r="AI43" s="1" t="s">
        <v>77</v>
      </c>
    </row>
    <row r="44" spans="33:35" x14ac:dyDescent="0.35">
      <c r="AG44" s="1" t="s">
        <v>6</v>
      </c>
      <c r="AH44" s="1" t="s">
        <v>44</v>
      </c>
      <c r="AI44" s="1" t="s">
        <v>78</v>
      </c>
    </row>
    <row r="45" spans="33:35" x14ac:dyDescent="0.35">
      <c r="AG45" s="1" t="s">
        <v>6</v>
      </c>
      <c r="AH45" s="1" t="s">
        <v>44</v>
      </c>
      <c r="AI45" s="1" t="s">
        <v>79</v>
      </c>
    </row>
    <row r="46" spans="33:35" x14ac:dyDescent="0.35">
      <c r="AG46" s="1" t="s">
        <v>6</v>
      </c>
      <c r="AH46" s="1" t="s">
        <v>44</v>
      </c>
      <c r="AI46" s="1" t="s">
        <v>80</v>
      </c>
    </row>
    <row r="47" spans="33:35" x14ac:dyDescent="0.35">
      <c r="AG47" s="1" t="s">
        <v>6</v>
      </c>
      <c r="AH47" s="1" t="s">
        <v>44</v>
      </c>
      <c r="AI47" s="1" t="s">
        <v>81</v>
      </c>
    </row>
    <row r="48" spans="33:35" x14ac:dyDescent="0.35">
      <c r="AG48" s="1" t="s">
        <v>6</v>
      </c>
      <c r="AH48" s="1" t="s">
        <v>44</v>
      </c>
      <c r="AI48" s="1" t="s">
        <v>82</v>
      </c>
    </row>
    <row r="49" spans="33:35" x14ac:dyDescent="0.35">
      <c r="AG49" s="1" t="s">
        <v>9</v>
      </c>
      <c r="AH49" s="1" t="s">
        <v>33</v>
      </c>
      <c r="AI49" s="1" t="s">
        <v>83</v>
      </c>
    </row>
    <row r="50" spans="33:35" x14ac:dyDescent="0.35">
      <c r="AG50" s="1" t="s">
        <v>9</v>
      </c>
      <c r="AH50" s="1" t="s">
        <v>33</v>
      </c>
      <c r="AI50" s="1" t="s">
        <v>84</v>
      </c>
    </row>
    <row r="51" spans="33:35" x14ac:dyDescent="0.35">
      <c r="AG51" s="1" t="s">
        <v>9</v>
      </c>
      <c r="AH51" s="1" t="s">
        <v>33</v>
      </c>
      <c r="AI51" s="1" t="s">
        <v>85</v>
      </c>
    </row>
    <row r="52" spans="33:35" x14ac:dyDescent="0.35">
      <c r="AG52" s="1" t="s">
        <v>9</v>
      </c>
      <c r="AH52" s="1" t="s">
        <v>33</v>
      </c>
      <c r="AI52" s="1" t="s">
        <v>86</v>
      </c>
    </row>
    <row r="53" spans="33:35" x14ac:dyDescent="0.35">
      <c r="AG53" s="1" t="s">
        <v>9</v>
      </c>
      <c r="AH53" s="1" t="s">
        <v>33</v>
      </c>
      <c r="AI53" s="1" t="s">
        <v>87</v>
      </c>
    </row>
    <row r="54" spans="33:35" x14ac:dyDescent="0.35">
      <c r="AG54" s="1" t="s">
        <v>9</v>
      </c>
      <c r="AH54" s="1" t="s">
        <v>33</v>
      </c>
      <c r="AI54" s="1" t="s">
        <v>88</v>
      </c>
    </row>
    <row r="55" spans="33:35" x14ac:dyDescent="0.35">
      <c r="AG55" s="1" t="s">
        <v>9</v>
      </c>
      <c r="AH55" s="1" t="s">
        <v>38</v>
      </c>
      <c r="AI55" s="1" t="s">
        <v>89</v>
      </c>
    </row>
    <row r="56" spans="33:35" x14ac:dyDescent="0.35">
      <c r="AG56" s="1" t="s">
        <v>9</v>
      </c>
      <c r="AH56" s="1" t="s">
        <v>38</v>
      </c>
      <c r="AI56" s="1" t="s">
        <v>90</v>
      </c>
    </row>
    <row r="57" spans="33:35" x14ac:dyDescent="0.35">
      <c r="AG57" s="1" t="s">
        <v>9</v>
      </c>
      <c r="AH57" s="1" t="s">
        <v>38</v>
      </c>
      <c r="AI57" s="1" t="s">
        <v>91</v>
      </c>
    </row>
    <row r="58" spans="33:35" x14ac:dyDescent="0.35">
      <c r="AG58" s="1" t="s">
        <v>9</v>
      </c>
      <c r="AH58" s="1" t="s">
        <v>38</v>
      </c>
      <c r="AI58" s="1" t="s">
        <v>92</v>
      </c>
    </row>
    <row r="59" spans="33:35" x14ac:dyDescent="0.35">
      <c r="AG59" s="1" t="s">
        <v>9</v>
      </c>
      <c r="AH59" s="1" t="s">
        <v>38</v>
      </c>
      <c r="AI59" s="1" t="s">
        <v>93</v>
      </c>
    </row>
    <row r="60" spans="33:35" x14ac:dyDescent="0.35">
      <c r="AG60" s="1" t="s">
        <v>9</v>
      </c>
      <c r="AH60" s="1" t="s">
        <v>44</v>
      </c>
      <c r="AI60" s="1" t="s">
        <v>94</v>
      </c>
    </row>
    <row r="61" spans="33:35" x14ac:dyDescent="0.35">
      <c r="AG61" s="1" t="s">
        <v>9</v>
      </c>
      <c r="AH61" s="1" t="s">
        <v>44</v>
      </c>
      <c r="AI61" s="1" t="s">
        <v>95</v>
      </c>
    </row>
    <row r="62" spans="33:35" x14ac:dyDescent="0.35">
      <c r="AG62" s="1" t="s">
        <v>9</v>
      </c>
      <c r="AH62" s="1" t="s">
        <v>44</v>
      </c>
      <c r="AI62" s="1" t="s">
        <v>96</v>
      </c>
    </row>
    <row r="63" spans="33:35" x14ac:dyDescent="0.35">
      <c r="AG63" s="1" t="s">
        <v>9</v>
      </c>
      <c r="AH63" s="1" t="s">
        <v>44</v>
      </c>
      <c r="AI63" s="1" t="s">
        <v>97</v>
      </c>
    </row>
    <row r="64" spans="33:35" x14ac:dyDescent="0.35">
      <c r="AG64" s="1" t="s">
        <v>9</v>
      </c>
      <c r="AH64" s="1" t="s">
        <v>44</v>
      </c>
      <c r="AI64" s="1" t="s">
        <v>98</v>
      </c>
    </row>
    <row r="65" spans="33:35" x14ac:dyDescent="0.35">
      <c r="AG65" s="1" t="s">
        <v>9</v>
      </c>
      <c r="AH65" s="1" t="s">
        <v>44</v>
      </c>
      <c r="AI65" s="1" t="s">
        <v>99</v>
      </c>
    </row>
    <row r="66" spans="33:35" x14ac:dyDescent="0.35">
      <c r="AG66" s="1" t="s">
        <v>12</v>
      </c>
      <c r="AH66" s="1" t="s">
        <v>33</v>
      </c>
      <c r="AI66" s="1" t="s">
        <v>100</v>
      </c>
    </row>
    <row r="67" spans="33:35" x14ac:dyDescent="0.35">
      <c r="AG67" s="1" t="s">
        <v>12</v>
      </c>
      <c r="AH67" s="1" t="s">
        <v>33</v>
      </c>
      <c r="AI67" s="1" t="s">
        <v>101</v>
      </c>
    </row>
    <row r="68" spans="33:35" x14ac:dyDescent="0.35">
      <c r="AG68" s="1" t="s">
        <v>12</v>
      </c>
      <c r="AH68" s="1" t="s">
        <v>33</v>
      </c>
      <c r="AI68" s="1" t="s">
        <v>102</v>
      </c>
    </row>
    <row r="69" spans="33:35" x14ac:dyDescent="0.35">
      <c r="AG69" s="1" t="s">
        <v>12</v>
      </c>
      <c r="AH69" s="1" t="s">
        <v>33</v>
      </c>
      <c r="AI69" s="1" t="s">
        <v>103</v>
      </c>
    </row>
    <row r="70" spans="33:35" x14ac:dyDescent="0.35">
      <c r="AG70" s="1" t="s">
        <v>12</v>
      </c>
      <c r="AH70" s="1" t="s">
        <v>33</v>
      </c>
      <c r="AI70" s="1" t="s">
        <v>104</v>
      </c>
    </row>
    <row r="71" spans="33:35" x14ac:dyDescent="0.35">
      <c r="AG71" s="1" t="s">
        <v>12</v>
      </c>
      <c r="AH71" s="1" t="s">
        <v>38</v>
      </c>
      <c r="AI71" s="1" t="s">
        <v>105</v>
      </c>
    </row>
    <row r="72" spans="33:35" x14ac:dyDescent="0.35">
      <c r="AG72" s="1" t="s">
        <v>12</v>
      </c>
      <c r="AH72" s="1" t="s">
        <v>38</v>
      </c>
      <c r="AI72" s="1" t="s">
        <v>106</v>
      </c>
    </row>
    <row r="73" spans="33:35" x14ac:dyDescent="0.35">
      <c r="AG73" s="1" t="s">
        <v>12</v>
      </c>
      <c r="AH73" s="1" t="s">
        <v>38</v>
      </c>
      <c r="AI73" s="1" t="s">
        <v>107</v>
      </c>
    </row>
    <row r="74" spans="33:35" x14ac:dyDescent="0.35">
      <c r="AG74" s="1" t="s">
        <v>12</v>
      </c>
      <c r="AH74" s="1" t="s">
        <v>38</v>
      </c>
      <c r="AI74" s="1" t="s">
        <v>108</v>
      </c>
    </row>
    <row r="75" spans="33:35" x14ac:dyDescent="0.35">
      <c r="AG75" s="1" t="s">
        <v>12</v>
      </c>
      <c r="AH75" s="1" t="s">
        <v>38</v>
      </c>
      <c r="AI75" s="1" t="s">
        <v>109</v>
      </c>
    </row>
    <row r="76" spans="33:35" x14ac:dyDescent="0.35">
      <c r="AG76" s="1" t="s">
        <v>12</v>
      </c>
      <c r="AH76" s="1" t="s">
        <v>44</v>
      </c>
      <c r="AI76" s="1" t="s">
        <v>110</v>
      </c>
    </row>
    <row r="77" spans="33:35" x14ac:dyDescent="0.35">
      <c r="AG77" s="1" t="s">
        <v>12</v>
      </c>
      <c r="AH77" s="1" t="s">
        <v>44</v>
      </c>
      <c r="AI77" s="1" t="s">
        <v>111</v>
      </c>
    </row>
    <row r="78" spans="33:35" x14ac:dyDescent="0.35">
      <c r="AG78" s="1" t="s">
        <v>12</v>
      </c>
      <c r="AH78" s="1" t="s">
        <v>44</v>
      </c>
      <c r="AI78" s="1" t="s">
        <v>112</v>
      </c>
    </row>
    <row r="79" spans="33:35" x14ac:dyDescent="0.35">
      <c r="AG79" s="1" t="s">
        <v>12</v>
      </c>
      <c r="AH79" s="1" t="s">
        <v>44</v>
      </c>
      <c r="AI79" s="1" t="s">
        <v>113</v>
      </c>
    </row>
    <row r="80" spans="33:35" x14ac:dyDescent="0.35">
      <c r="AG80" s="1" t="s">
        <v>12</v>
      </c>
      <c r="AH80" s="1" t="s">
        <v>44</v>
      </c>
      <c r="AI80" s="1" t="s">
        <v>114</v>
      </c>
    </row>
    <row r="81" spans="33:35" x14ac:dyDescent="0.35">
      <c r="AG81" s="1" t="s">
        <v>15</v>
      </c>
      <c r="AH81" s="1" t="s">
        <v>33</v>
      </c>
      <c r="AI81" s="1" t="s">
        <v>115</v>
      </c>
    </row>
    <row r="82" spans="33:35" x14ac:dyDescent="0.35">
      <c r="AG82" s="1" t="s">
        <v>15</v>
      </c>
      <c r="AH82" s="1" t="s">
        <v>33</v>
      </c>
      <c r="AI82" s="1" t="s">
        <v>116</v>
      </c>
    </row>
    <row r="83" spans="33:35" x14ac:dyDescent="0.35">
      <c r="AG83" s="1" t="s">
        <v>15</v>
      </c>
      <c r="AH83" s="1" t="s">
        <v>33</v>
      </c>
      <c r="AI83" s="1" t="s">
        <v>117</v>
      </c>
    </row>
    <row r="84" spans="33:35" x14ac:dyDescent="0.35">
      <c r="AG84" s="1" t="s">
        <v>15</v>
      </c>
      <c r="AH84" s="1" t="s">
        <v>33</v>
      </c>
      <c r="AI84" s="1" t="s">
        <v>118</v>
      </c>
    </row>
    <row r="85" spans="33:35" x14ac:dyDescent="0.35">
      <c r="AG85" s="1" t="s">
        <v>15</v>
      </c>
      <c r="AH85" s="1" t="s">
        <v>33</v>
      </c>
      <c r="AI85" s="1" t="s">
        <v>119</v>
      </c>
    </row>
    <row r="86" spans="33:35" x14ac:dyDescent="0.35">
      <c r="AG86" s="1" t="s">
        <v>15</v>
      </c>
      <c r="AH86" s="1" t="s">
        <v>38</v>
      </c>
      <c r="AI86" s="1" t="s">
        <v>120</v>
      </c>
    </row>
    <row r="87" spans="33:35" x14ac:dyDescent="0.35">
      <c r="AG87" s="1" t="s">
        <v>15</v>
      </c>
      <c r="AH87" s="1" t="s">
        <v>38</v>
      </c>
      <c r="AI87" s="1" t="s">
        <v>121</v>
      </c>
    </row>
    <row r="88" spans="33:35" x14ac:dyDescent="0.35">
      <c r="AG88" s="1" t="s">
        <v>15</v>
      </c>
      <c r="AH88" s="1" t="s">
        <v>38</v>
      </c>
      <c r="AI88" s="1" t="s">
        <v>122</v>
      </c>
    </row>
    <row r="89" spans="33:35" x14ac:dyDescent="0.35">
      <c r="AG89" s="1" t="s">
        <v>15</v>
      </c>
      <c r="AH89" s="1" t="s">
        <v>38</v>
      </c>
      <c r="AI89" s="1" t="s">
        <v>123</v>
      </c>
    </row>
    <row r="90" spans="33:35" x14ac:dyDescent="0.35">
      <c r="AG90" s="1" t="s">
        <v>15</v>
      </c>
      <c r="AH90" s="1" t="s">
        <v>38</v>
      </c>
      <c r="AI90" s="1" t="s">
        <v>124</v>
      </c>
    </row>
    <row r="91" spans="33:35" x14ac:dyDescent="0.35">
      <c r="AG91" s="1" t="s">
        <v>15</v>
      </c>
      <c r="AH91" s="1" t="s">
        <v>44</v>
      </c>
      <c r="AI91" s="1" t="s">
        <v>125</v>
      </c>
    </row>
    <row r="92" spans="33:35" x14ac:dyDescent="0.35">
      <c r="AG92" s="1" t="s">
        <v>15</v>
      </c>
      <c r="AH92" s="1" t="s">
        <v>44</v>
      </c>
      <c r="AI92" s="1" t="s">
        <v>126</v>
      </c>
    </row>
    <row r="93" spans="33:35" x14ac:dyDescent="0.35">
      <c r="AG93" s="1" t="s">
        <v>15</v>
      </c>
      <c r="AH93" s="1" t="s">
        <v>44</v>
      </c>
      <c r="AI93" s="1" t="s">
        <v>127</v>
      </c>
    </row>
    <row r="94" spans="33:35" x14ac:dyDescent="0.35">
      <c r="AG94" s="1" t="s">
        <v>15</v>
      </c>
      <c r="AH94" s="1" t="s">
        <v>44</v>
      </c>
      <c r="AI94" s="1" t="s">
        <v>128</v>
      </c>
    </row>
    <row r="95" spans="33:35" x14ac:dyDescent="0.35">
      <c r="AG95" s="1" t="s">
        <v>15</v>
      </c>
      <c r="AH95" s="1" t="s">
        <v>44</v>
      </c>
      <c r="AI95" s="1" t="s">
        <v>129</v>
      </c>
    </row>
    <row r="96" spans="33:35" x14ac:dyDescent="0.35">
      <c r="AG96" s="1" t="s">
        <v>18</v>
      </c>
      <c r="AH96" s="1" t="s">
        <v>33</v>
      </c>
      <c r="AI96" s="1" t="s">
        <v>130</v>
      </c>
    </row>
    <row r="97" spans="33:35" x14ac:dyDescent="0.35">
      <c r="AG97" s="1" t="s">
        <v>18</v>
      </c>
      <c r="AH97" s="1" t="s">
        <v>33</v>
      </c>
      <c r="AI97" s="1" t="s">
        <v>131</v>
      </c>
    </row>
    <row r="98" spans="33:35" x14ac:dyDescent="0.35">
      <c r="AG98" s="1" t="s">
        <v>18</v>
      </c>
      <c r="AH98" s="1" t="s">
        <v>33</v>
      </c>
      <c r="AI98" s="1" t="s">
        <v>132</v>
      </c>
    </row>
    <row r="99" spans="33:35" x14ac:dyDescent="0.35">
      <c r="AG99" s="1" t="s">
        <v>18</v>
      </c>
      <c r="AH99" s="1" t="s">
        <v>33</v>
      </c>
      <c r="AI99" s="1" t="s">
        <v>133</v>
      </c>
    </row>
    <row r="100" spans="33:35" x14ac:dyDescent="0.35">
      <c r="AG100" s="1" t="s">
        <v>18</v>
      </c>
      <c r="AH100" s="1" t="s">
        <v>33</v>
      </c>
      <c r="AI100" s="1" t="s">
        <v>134</v>
      </c>
    </row>
    <row r="101" spans="33:35" x14ac:dyDescent="0.35">
      <c r="AG101" s="1" t="s">
        <v>18</v>
      </c>
      <c r="AH101" s="1" t="s">
        <v>38</v>
      </c>
      <c r="AI101" s="1" t="s">
        <v>135</v>
      </c>
    </row>
    <row r="102" spans="33:35" x14ac:dyDescent="0.35">
      <c r="AG102" s="1" t="s">
        <v>18</v>
      </c>
      <c r="AH102" s="1" t="s">
        <v>38</v>
      </c>
      <c r="AI102" s="1" t="s">
        <v>136</v>
      </c>
    </row>
    <row r="103" spans="33:35" x14ac:dyDescent="0.35">
      <c r="AG103" s="1" t="s">
        <v>18</v>
      </c>
      <c r="AH103" s="1" t="s">
        <v>38</v>
      </c>
      <c r="AI103" s="1" t="s">
        <v>137</v>
      </c>
    </row>
    <row r="104" spans="33:35" x14ac:dyDescent="0.35">
      <c r="AG104" s="1" t="s">
        <v>18</v>
      </c>
      <c r="AH104" s="1" t="s">
        <v>38</v>
      </c>
      <c r="AI104" s="1" t="s">
        <v>138</v>
      </c>
    </row>
    <row r="105" spans="33:35" x14ac:dyDescent="0.35">
      <c r="AG105" s="1" t="s">
        <v>18</v>
      </c>
      <c r="AH105" s="1" t="s">
        <v>38</v>
      </c>
      <c r="AI105" s="1" t="s">
        <v>139</v>
      </c>
    </row>
    <row r="106" spans="33:35" x14ac:dyDescent="0.35">
      <c r="AG106" s="1" t="s">
        <v>18</v>
      </c>
      <c r="AH106" s="1" t="s">
        <v>44</v>
      </c>
      <c r="AI106" s="1" t="s">
        <v>140</v>
      </c>
    </row>
    <row r="107" spans="33:35" x14ac:dyDescent="0.35">
      <c r="AG107" s="1" t="s">
        <v>18</v>
      </c>
      <c r="AH107" s="1" t="s">
        <v>44</v>
      </c>
      <c r="AI107" s="1" t="s">
        <v>141</v>
      </c>
    </row>
    <row r="108" spans="33:35" x14ac:dyDescent="0.35">
      <c r="AG108" s="1" t="s">
        <v>18</v>
      </c>
      <c r="AH108" s="1" t="s">
        <v>44</v>
      </c>
      <c r="AI108" s="1" t="s">
        <v>142</v>
      </c>
    </row>
    <row r="109" spans="33:35" x14ac:dyDescent="0.35">
      <c r="AG109" s="1" t="s">
        <v>18</v>
      </c>
      <c r="AH109" s="1" t="s">
        <v>44</v>
      </c>
      <c r="AI109" s="1" t="s">
        <v>143</v>
      </c>
    </row>
    <row r="110" spans="33:35" x14ac:dyDescent="0.35">
      <c r="AG110" s="1" t="s">
        <v>18</v>
      </c>
      <c r="AH110" s="1" t="s">
        <v>44</v>
      </c>
      <c r="AI110" s="1" t="s">
        <v>144</v>
      </c>
    </row>
    <row r="111" spans="33:35" x14ac:dyDescent="0.35">
      <c r="AG111" s="1" t="s">
        <v>21</v>
      </c>
      <c r="AH111" s="1" t="s">
        <v>33</v>
      </c>
      <c r="AI111" s="1" t="s">
        <v>145</v>
      </c>
    </row>
    <row r="112" spans="33:35" x14ac:dyDescent="0.35">
      <c r="AG112" s="1" t="s">
        <v>21</v>
      </c>
      <c r="AH112" s="1" t="s">
        <v>33</v>
      </c>
      <c r="AI112" s="1" t="s">
        <v>146</v>
      </c>
    </row>
    <row r="113" spans="33:35" x14ac:dyDescent="0.35">
      <c r="AG113" s="1" t="s">
        <v>21</v>
      </c>
      <c r="AH113" s="1" t="s">
        <v>33</v>
      </c>
      <c r="AI113" s="1" t="s">
        <v>147</v>
      </c>
    </row>
    <row r="114" spans="33:35" x14ac:dyDescent="0.35">
      <c r="AG114" s="1" t="s">
        <v>21</v>
      </c>
      <c r="AH114" s="1" t="s">
        <v>33</v>
      </c>
      <c r="AI114" s="1" t="s">
        <v>148</v>
      </c>
    </row>
    <row r="115" spans="33:35" x14ac:dyDescent="0.35">
      <c r="AG115" s="1" t="s">
        <v>21</v>
      </c>
      <c r="AH115" s="1" t="s">
        <v>33</v>
      </c>
      <c r="AI115" s="1" t="s">
        <v>149</v>
      </c>
    </row>
    <row r="116" spans="33:35" x14ac:dyDescent="0.35">
      <c r="AG116" s="1" t="s">
        <v>21</v>
      </c>
      <c r="AH116" s="1" t="s">
        <v>38</v>
      </c>
      <c r="AI116" s="1" t="s">
        <v>150</v>
      </c>
    </row>
    <row r="117" spans="33:35" x14ac:dyDescent="0.35">
      <c r="AG117" s="1" t="s">
        <v>21</v>
      </c>
      <c r="AH117" s="1" t="s">
        <v>38</v>
      </c>
      <c r="AI117" s="1" t="s">
        <v>151</v>
      </c>
    </row>
    <row r="118" spans="33:35" x14ac:dyDescent="0.35">
      <c r="AG118" s="1" t="s">
        <v>21</v>
      </c>
      <c r="AH118" s="1" t="s">
        <v>38</v>
      </c>
      <c r="AI118" s="1" t="s">
        <v>152</v>
      </c>
    </row>
    <row r="119" spans="33:35" x14ac:dyDescent="0.35">
      <c r="AG119" s="1" t="s">
        <v>21</v>
      </c>
      <c r="AH119" s="1" t="s">
        <v>38</v>
      </c>
      <c r="AI119" s="1" t="s">
        <v>153</v>
      </c>
    </row>
    <row r="120" spans="33:35" x14ac:dyDescent="0.35">
      <c r="AG120" s="1" t="s">
        <v>21</v>
      </c>
      <c r="AH120" s="1" t="s">
        <v>38</v>
      </c>
      <c r="AI120" s="1" t="s">
        <v>154</v>
      </c>
    </row>
    <row r="121" spans="33:35" x14ac:dyDescent="0.35">
      <c r="AG121" s="1" t="s">
        <v>21</v>
      </c>
      <c r="AH121" s="1" t="s">
        <v>44</v>
      </c>
      <c r="AI121" s="1" t="s">
        <v>155</v>
      </c>
    </row>
    <row r="122" spans="33:35" x14ac:dyDescent="0.35">
      <c r="AG122" s="1" t="s">
        <v>21</v>
      </c>
      <c r="AH122" s="1" t="s">
        <v>44</v>
      </c>
      <c r="AI122" s="1" t="s">
        <v>156</v>
      </c>
    </row>
    <row r="123" spans="33:35" x14ac:dyDescent="0.35">
      <c r="AG123" s="1" t="s">
        <v>21</v>
      </c>
      <c r="AH123" s="1" t="s">
        <v>44</v>
      </c>
      <c r="AI123" s="1" t="s">
        <v>157</v>
      </c>
    </row>
    <row r="124" spans="33:35" x14ac:dyDescent="0.35">
      <c r="AG124" s="1" t="s">
        <v>21</v>
      </c>
      <c r="AH124" s="1" t="s">
        <v>44</v>
      </c>
      <c r="AI124" s="1" t="s">
        <v>158</v>
      </c>
    </row>
    <row r="125" spans="33:35" x14ac:dyDescent="0.35">
      <c r="AG125" s="1" t="s">
        <v>21</v>
      </c>
      <c r="AH125" s="1" t="s">
        <v>44</v>
      </c>
      <c r="AI125" s="1" t="s">
        <v>159</v>
      </c>
    </row>
    <row r="126" spans="33:35" x14ac:dyDescent="0.35">
      <c r="AG126" s="1" t="s">
        <v>24</v>
      </c>
      <c r="AH126" s="1" t="s">
        <v>33</v>
      </c>
      <c r="AI126" s="1" t="s">
        <v>160</v>
      </c>
    </row>
    <row r="127" spans="33:35" x14ac:dyDescent="0.35">
      <c r="AG127" s="1" t="s">
        <v>24</v>
      </c>
      <c r="AH127" s="1" t="s">
        <v>33</v>
      </c>
      <c r="AI127" s="1" t="s">
        <v>161</v>
      </c>
    </row>
    <row r="128" spans="33:35" x14ac:dyDescent="0.35">
      <c r="AG128" s="1" t="s">
        <v>24</v>
      </c>
      <c r="AH128" s="1" t="s">
        <v>33</v>
      </c>
      <c r="AI128" s="1" t="s">
        <v>162</v>
      </c>
    </row>
    <row r="129" spans="33:35" x14ac:dyDescent="0.35">
      <c r="AG129" s="1" t="s">
        <v>24</v>
      </c>
      <c r="AH129" s="1" t="s">
        <v>33</v>
      </c>
      <c r="AI129" s="1" t="s">
        <v>163</v>
      </c>
    </row>
    <row r="130" spans="33:35" x14ac:dyDescent="0.35">
      <c r="AG130" s="1" t="s">
        <v>24</v>
      </c>
      <c r="AH130" s="1" t="s">
        <v>33</v>
      </c>
      <c r="AI130" s="1" t="s">
        <v>164</v>
      </c>
    </row>
    <row r="131" spans="33:35" x14ac:dyDescent="0.35">
      <c r="AG131" s="1" t="s">
        <v>24</v>
      </c>
      <c r="AH131" s="1" t="s">
        <v>38</v>
      </c>
      <c r="AI131" s="1" t="s">
        <v>165</v>
      </c>
    </row>
    <row r="132" spans="33:35" x14ac:dyDescent="0.35">
      <c r="AG132" s="1" t="s">
        <v>24</v>
      </c>
      <c r="AH132" s="1" t="s">
        <v>38</v>
      </c>
      <c r="AI132" s="1" t="s">
        <v>166</v>
      </c>
    </row>
    <row r="133" spans="33:35" x14ac:dyDescent="0.35">
      <c r="AG133" s="1" t="s">
        <v>24</v>
      </c>
      <c r="AH133" s="1" t="s">
        <v>38</v>
      </c>
      <c r="AI133" s="1" t="s">
        <v>167</v>
      </c>
    </row>
    <row r="134" spans="33:35" x14ac:dyDescent="0.35">
      <c r="AG134" s="1" t="s">
        <v>24</v>
      </c>
      <c r="AH134" s="1" t="s">
        <v>38</v>
      </c>
      <c r="AI134" s="1" t="s">
        <v>168</v>
      </c>
    </row>
    <row r="135" spans="33:35" x14ac:dyDescent="0.35">
      <c r="AG135" s="1" t="s">
        <v>24</v>
      </c>
      <c r="AH135" s="1" t="s">
        <v>38</v>
      </c>
      <c r="AI135" s="1" t="s">
        <v>169</v>
      </c>
    </row>
    <row r="136" spans="33:35" x14ac:dyDescent="0.35">
      <c r="AG136" s="1" t="s">
        <v>24</v>
      </c>
      <c r="AH136" s="1" t="s">
        <v>44</v>
      </c>
      <c r="AI136" s="1" t="s">
        <v>170</v>
      </c>
    </row>
    <row r="137" spans="33:35" x14ac:dyDescent="0.35">
      <c r="AG137" s="1" t="s">
        <v>24</v>
      </c>
      <c r="AH137" s="1" t="s">
        <v>44</v>
      </c>
      <c r="AI137" s="1" t="s">
        <v>171</v>
      </c>
    </row>
    <row r="138" spans="33:35" x14ac:dyDescent="0.35">
      <c r="AG138" s="1" t="s">
        <v>24</v>
      </c>
      <c r="AH138" s="1" t="s">
        <v>44</v>
      </c>
      <c r="AI138" s="1" t="s">
        <v>172</v>
      </c>
    </row>
    <row r="139" spans="33:35" x14ac:dyDescent="0.35">
      <c r="AG139" s="1" t="s">
        <v>24</v>
      </c>
      <c r="AH139" s="1" t="s">
        <v>44</v>
      </c>
      <c r="AI139" s="1" t="s">
        <v>173</v>
      </c>
    </row>
    <row r="140" spans="33:35" x14ac:dyDescent="0.35">
      <c r="AG140" s="1" t="s">
        <v>24</v>
      </c>
      <c r="AH140" s="1" t="s">
        <v>44</v>
      </c>
      <c r="AI140" s="1" t="s">
        <v>174</v>
      </c>
    </row>
    <row r="141" spans="33:35" x14ac:dyDescent="0.35">
      <c r="AG141" s="1" t="s">
        <v>27</v>
      </c>
      <c r="AH141" s="1" t="s">
        <v>33</v>
      </c>
      <c r="AI141" s="1" t="s">
        <v>175</v>
      </c>
    </row>
    <row r="142" spans="33:35" x14ac:dyDescent="0.35">
      <c r="AG142" s="1" t="s">
        <v>27</v>
      </c>
      <c r="AH142" s="1" t="s">
        <v>33</v>
      </c>
      <c r="AI142" s="1" t="s">
        <v>176</v>
      </c>
    </row>
    <row r="143" spans="33:35" x14ac:dyDescent="0.35">
      <c r="AG143" s="1" t="s">
        <v>27</v>
      </c>
      <c r="AH143" s="1" t="s">
        <v>33</v>
      </c>
      <c r="AI143" s="1" t="s">
        <v>177</v>
      </c>
    </row>
    <row r="144" spans="33:35" x14ac:dyDescent="0.35">
      <c r="AG144" s="1" t="s">
        <v>27</v>
      </c>
      <c r="AH144" s="1" t="s">
        <v>33</v>
      </c>
      <c r="AI144" s="1" t="s">
        <v>178</v>
      </c>
    </row>
    <row r="145" spans="33:35" x14ac:dyDescent="0.35">
      <c r="AG145" s="1" t="s">
        <v>27</v>
      </c>
      <c r="AH145" s="1" t="s">
        <v>33</v>
      </c>
      <c r="AI145" s="1" t="s">
        <v>179</v>
      </c>
    </row>
    <row r="146" spans="33:35" x14ac:dyDescent="0.35">
      <c r="AG146" s="1" t="s">
        <v>27</v>
      </c>
      <c r="AH146" s="1" t="s">
        <v>38</v>
      </c>
      <c r="AI146" s="1" t="s">
        <v>180</v>
      </c>
    </row>
    <row r="147" spans="33:35" x14ac:dyDescent="0.35">
      <c r="AG147" s="1" t="s">
        <v>27</v>
      </c>
      <c r="AH147" s="1" t="s">
        <v>38</v>
      </c>
      <c r="AI147" s="1" t="s">
        <v>181</v>
      </c>
    </row>
    <row r="148" spans="33:35" x14ac:dyDescent="0.35">
      <c r="AG148" s="1" t="s">
        <v>27</v>
      </c>
      <c r="AH148" s="1" t="s">
        <v>38</v>
      </c>
      <c r="AI148" s="1" t="s">
        <v>182</v>
      </c>
    </row>
    <row r="149" spans="33:35" x14ac:dyDescent="0.35">
      <c r="AG149" s="1" t="s">
        <v>27</v>
      </c>
      <c r="AH149" s="1" t="s">
        <v>38</v>
      </c>
      <c r="AI149" s="1" t="s">
        <v>183</v>
      </c>
    </row>
    <row r="150" spans="33:35" x14ac:dyDescent="0.35">
      <c r="AG150" s="1" t="s">
        <v>27</v>
      </c>
      <c r="AH150" s="1" t="s">
        <v>38</v>
      </c>
      <c r="AI150" s="1" t="s">
        <v>184</v>
      </c>
    </row>
    <row r="151" spans="33:35" x14ac:dyDescent="0.35">
      <c r="AG151" s="1" t="s">
        <v>27</v>
      </c>
      <c r="AH151" s="1" t="s">
        <v>44</v>
      </c>
      <c r="AI151" s="1" t="s">
        <v>185</v>
      </c>
    </row>
    <row r="152" spans="33:35" x14ac:dyDescent="0.35">
      <c r="AG152" s="1" t="s">
        <v>27</v>
      </c>
      <c r="AH152" s="1" t="s">
        <v>44</v>
      </c>
      <c r="AI152" s="1" t="s">
        <v>186</v>
      </c>
    </row>
    <row r="153" spans="33:35" x14ac:dyDescent="0.35">
      <c r="AG153" s="1" t="s">
        <v>27</v>
      </c>
      <c r="AH153" s="1" t="s">
        <v>44</v>
      </c>
      <c r="AI153" s="1" t="s">
        <v>187</v>
      </c>
    </row>
    <row r="154" spans="33:35" x14ac:dyDescent="0.35">
      <c r="AG154" s="1" t="s">
        <v>27</v>
      </c>
      <c r="AH154" s="1" t="s">
        <v>44</v>
      </c>
      <c r="AI154" s="1" t="s">
        <v>188</v>
      </c>
    </row>
    <row r="155" spans="33:35" x14ac:dyDescent="0.35">
      <c r="AG155" s="1" t="s">
        <v>27</v>
      </c>
      <c r="AH155" s="1" t="s">
        <v>44</v>
      </c>
      <c r="AI155" s="1" t="s">
        <v>189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19</vt:i4>
      </vt:variant>
    </vt:vector>
  </HeadingPairs>
  <TitlesOfParts>
    <vt:vector size="22" baseType="lpstr">
      <vt:lpstr>Balance_Import</vt:lpstr>
      <vt:lpstr>Balance_Data</vt:lpstr>
      <vt:lpstr>Balance_Analyse</vt:lpstr>
      <vt:lpstr>Bal_ClientEmail</vt:lpstr>
      <vt:lpstr>Bal_ClientName</vt:lpstr>
      <vt:lpstr>Bal_ImportStatus</vt:lpstr>
      <vt:lpstr>Bal_Year</vt:lpstr>
      <vt:lpstr>BalanceData_FirstRow</vt:lpstr>
      <vt:lpstr>BalData_Compte</vt:lpstr>
      <vt:lpstr>BalData_Cycle</vt:lpstr>
      <vt:lpstr>BalData_Lecture</vt:lpstr>
      <vt:lpstr>BalData_Libelle</vt:lpstr>
      <vt:lpstr>BalData_Suggestion</vt:lpstr>
      <vt:lpstr>BalData_VarAbs</vt:lpstr>
      <vt:lpstr>BalData_VarPct</vt:lpstr>
      <vt:lpstr>Ref_AccountRules</vt:lpstr>
      <vt:lpstr>Ref_CycleRules</vt:lpstr>
      <vt:lpstr>Ref_CyclesItems</vt:lpstr>
      <vt:lpstr>Ref_CyclesMeta</vt:lpstr>
      <vt:lpstr>Ref_DefaultCycle</vt:lpstr>
      <vt:lpstr>Ref_GeneralFallback</vt:lpstr>
      <vt:lpstr>Balance_Analyse!Zone_d_impression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SAROUKOU</dc:creator>
  <cp:lastModifiedBy>Mahmoud SAROUKOU</cp:lastModifiedBy>
  <dcterms:created xsi:type="dcterms:W3CDTF">2026-08-16T10:18:14Z</dcterms:created>
  <dcterms:modified xsi:type="dcterms:W3CDTF">2026-08-16T10:19:08Z</dcterms:modified>
</cp:coreProperties>
</file>